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2d066bf2eb4d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d Summary" sheetId="1" r:id="R06f81d3e35a94816"/>
    <x:sheet xmlns:r="http://schemas.openxmlformats.org/officeDocument/2006/relationships" name="Work Breakdown" sheetId="2" r:id="R63b1491dd6c04c03"/>
    <x:sheet xmlns:r="http://schemas.openxmlformats.org/officeDocument/2006/relationships" name="Pricing Calculator" sheetId="3" r:id="R6c80181b8c5b4881"/>
    <x:sheet xmlns:r="http://schemas.openxmlformats.org/officeDocument/2006/relationships" name="Milestones" sheetId="4" r:id="Rf8beb40edcda4cfb"/>
    <x:sheet xmlns:r="http://schemas.openxmlformats.org/officeDocument/2006/relationships" name="Assumptions &amp; Questions" sheetId="5" r:id="R9ebb81952fd24178"/>
    <x:sheet xmlns:r="http://schemas.openxmlformats.org/officeDocument/2006/relationships" name="Risks" sheetId="6" r:id="R683ee69db2b24246"/>
    <x:sheet xmlns:r="http://schemas.openxmlformats.org/officeDocument/2006/relationships" name="Acceptance Criteria" sheetId="7" r:id="R0989e036bdf54de4"/>
  </x:sheets>
</x:workbook>
</file>

<file path=xl/comments1.xml><?xml version="1.0" encoding="utf-8"?>
<x:comments xmlns:x="http://schemas.openxmlformats.org/spreadsheetml/2006/main">
  <x:authors>
    <x:author>tc={D4DC4271-1D84-0A23-C2E3-256DD22774A0}</x:author>
  </x:authors>
  <x:commentList>
    <x:comment ref="B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Change this rate to match your Upwork profile and the client's budget.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&quot;$&quot;#,##0"/>
    <x:numFmt numFmtId="202" formatCode="0%"/>
    <x:numFmt numFmtId="203" formatCode="&quot;$&quot;#,##0.00"/>
  </x:numFmts>
  <x:fonts count="22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F2937"/>
      <x:name val="Carlito"/>
    </x:font>
    <x:font>
      <x:b/>
      <x:sz val="18"/>
      <x:color rgb="FF17365D"/>
      <x:name val="Carlito"/>
    </x:font>
    <x:font>
      <x:b/>
      <x:sz val="11"/>
      <x:color rgb="FF006100"/>
      <x:name val="Carlito"/>
    </x:font>
    <x:font>
      <x:sz val="11"/>
      <x:color rgb="FF1F2937"/>
      <x:name val="Carlito"/>
    </x:font>
    <x:font>
      <x:b/>
      <x:sz val="18"/>
      <x:color rgb="FFFFFFFF"/>
      <x:name val="Aptos"/>
    </x:font>
    <x:font>
      <x:i/>
      <x:sz val="11"/>
      <x:color rgb="FF1F2937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1"/>
      <x:name val="Aptos"/>
    </x:font>
    <x:font>
      <x:b/>
      <x:sz val="11"/>
      <x:color rgb="FF1F2937"/>
      <x:name val="Aptos"/>
    </x:font>
    <x:font>
      <x:b/>
      <x:sz val="18"/>
      <x:color rgb="FF17365D"/>
      <x:name val="Aptos"/>
    </x:font>
    <x:font>
      <x:b/>
      <x:sz val="11"/>
      <x:color rgb="FF006100"/>
      <x:name val="Aptos"/>
    </x:font>
    <x:font>
      <x:sz val="11"/>
      <x:color rgb="FF1F2937"/>
      <x:name val="Aptos"/>
    </x:font>
    <x:font>
      <x:b/>
      <x:sz val="11"/>
      <x:color rgb="FF1F4E78"/>
      <x:name val="Carlito"/>
    </x:font>
    <x:font>
      <x:b/>
      <x:sz val="11"/>
      <x:color rgb="FF1F4E78"/>
      <x:name val="Aptos"/>
    </x:font>
    <x:font>
      <x:b/>
      <x:sz val="12"/>
      <x:color rgb="FFFFFFFF"/>
      <x:name val="Carlito"/>
    </x:font>
    <x:font>
      <x:b/>
      <x:sz val="12"/>
      <x:color rgb="FFFFFFFF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70AD47"/>
      </x:patternFill>
    </x:fill>
  </x:fills>
  <x:borders count="23">
    <x:border/>
    <x:border>
      <x:left style="medium">
        <x:color rgb="FF70AD47"/>
      </x:left>
      <x:top style="medium">
        <x:color rgb="FF70AD47"/>
      </x:top>
    </x:border>
    <x:border>
      <x:top style="medium">
        <x:color rgb="FF70AD47"/>
      </x:top>
    </x:border>
    <x:border>
      <x:right style="medium">
        <x:color rgb="FF70AD47"/>
      </x:right>
      <x:top style="medium">
        <x:color rgb="FF70AD47"/>
      </x:top>
    </x:border>
    <x:border>
      <x:left style="medium">
        <x:color rgb="FF70AD47"/>
      </x:left>
      <x:bottom style="medium">
        <x:color rgb="FF70AD47"/>
      </x:bottom>
    </x:border>
    <x:border>
      <x:bottom style="medium">
        <x:color rgb="FF70AD47"/>
      </x:bottom>
    </x:border>
    <x:border>
      <x:right style="medium">
        <x:color rgb="FF70AD47"/>
      </x:right>
      <x:bottom style="medium">
        <x:color rgb="FF70AD47"/>
      </x:bottom>
    </x:border>
    <x:border>
      <x:left style="thin">
        <x:color rgb="FFED7D31"/>
      </x:left>
      <x:top style="thin">
        <x:color rgb="FFED7D31"/>
      </x:top>
    </x:border>
    <x:border>
      <x:top style="thin">
        <x:color rgb="FFED7D31"/>
      </x:top>
    </x:border>
    <x:border>
      <x:right style="thin">
        <x:color rgb="FFED7D31"/>
      </x:right>
      <x:top style="thin">
        <x:color rgb="FFED7D31"/>
      </x:top>
    </x:border>
    <x:border>
      <x:left style="thin">
        <x:color rgb="FFED7D31"/>
      </x:left>
    </x:border>
    <x:border>
      <x:right style="thin">
        <x:color rgb="FFED7D31"/>
      </x:right>
    </x:border>
    <x:border>
      <x:left style="thin">
        <x:color rgb="FFED7D31"/>
      </x:left>
      <x:bottom style="thin">
        <x:color rgb="FFED7D31"/>
      </x:bottom>
    </x:border>
    <x:border>
      <x:bottom style="thin">
        <x:color rgb="FFED7D31"/>
      </x:bottom>
    </x:border>
    <x:border>
      <x:right style="thin">
        <x:color rgb="FFED7D31"/>
      </x:right>
      <x:bottom style="thin">
        <x:color rgb="FFED7D31"/>
      </x:bottom>
    </x:border>
    <x:border>
      <x:left style="thin">
        <x:color rgb="FFB4C7E7"/>
      </x:left>
      <x:top style="thin">
        <x:color rgb="FFB4C7E7"/>
      </x:top>
      <x:bottom style="thin">
        <x:color rgb="FFB4C7E7"/>
      </x:bottom>
    </x:border>
    <x:border>
      <x:top style="thin">
        <x:color rgb="FFB4C7E7"/>
      </x:top>
      <x:bottom style="thin">
        <x:color rgb="FFB4C7E7"/>
      </x:bottom>
    </x:border>
    <x:border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left style="medium">
        <x:color rgb="FF70AD47"/>
      </x:left>
      <x:top style="medium">
        <x:color rgb="FF70AD47"/>
      </x:top>
      <x:bottom style="medium">
        <x:color rgb="FF70AD47"/>
      </x:bottom>
    </x:border>
    <x:border>
      <x:right style="medium">
        <x:color rgb="FF70AD47"/>
      </x:right>
      <x:top style="medium">
        <x:color rgb="FF70AD47"/>
      </x:top>
      <x:bottom style="medium">
        <x:color rgb="FF70AD47"/>
      </x:bottom>
    </x:border>
  </x:borders>
  <x:cellStyleXfs count="1">
    <x:xf numFmtId="0" fontId="0" fillId="0" borderId="0"/>
  </x:cellStyleXfs>
  <x:cellXfs count="2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0" fontId="6" fillId="6" borderId="2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1" xfId="0" applyNumberFormat="1" applyFont="1" applyFill="1" applyBorder="1" applyAlignment="1">
      <x:alignment horizontal="center"/>
    </x:xf>
    <x:xf numFmtId="0" fontId="6" fillId="6" borderId="2" xfId="0" applyNumberFormat="1" applyFont="1" applyFill="1" applyBorder="1" applyAlignment="1">
      <x:alignment horizontal="center"/>
    </x:xf>
    <x:xf numFmtId="0" fontId="6" fillId="6" borderId="3" xfId="0" applyNumberFormat="1" applyFont="1" applyFill="1" applyBorder="1" applyAlignment="1">
      <x:alignment horizontal="center"/>
    </x:xf>
    <x:xf numFmtId="0" fontId="6" fillId="6" borderId="4" xfId="0" applyNumberFormat="1" applyFont="1" applyFill="1" applyBorder="1" applyAlignment="1">
      <x:alignment horizontal="center"/>
    </x:xf>
    <x:xf numFmtId="0" fontId="6" fillId="6" borderId="5" xfId="0" applyNumberFormat="1" applyFont="1" applyFill="1" applyBorder="1" applyAlignment="1">
      <x:alignment horizontal="center"/>
    </x:xf>
    <x:xf numFmtId="0" fontId="6" fillId="6" borderId="6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 applyAlignment="1">
      <x:alignment horizontal="center" vertical="center"/>
    </x:xf>
    <x:xf numFmtId="0" fontId="6" fillId="6" borderId="2" xfId="0" applyNumberFormat="1" applyFont="1" applyFill="1" applyBorder="1" applyAlignment="1">
      <x:alignment horizontal="center" vertical="center"/>
    </x:xf>
    <x:xf numFmtId="0" fontId="6" fillId="6" borderId="3" xfId="0" applyNumberFormat="1" applyFont="1" applyFill="1" applyBorder="1" applyAlignment="1">
      <x:alignment horizontal="center" vertical="center"/>
    </x:xf>
    <x:xf numFmtId="0" fontId="6" fillId="6" borderId="4" xfId="0" applyNumberFormat="1" applyFont="1" applyFill="1" applyBorder="1" applyAlignment="1">
      <x:alignment horizontal="center" vertical="center"/>
    </x:xf>
    <x:xf numFmtId="0" fontId="6" fillId="6" borderId="5" xfId="0" applyNumberFormat="1" applyFont="1" applyFill="1" applyBorder="1" applyAlignment="1">
      <x:alignment horizontal="center" vertical="center"/>
    </x:xf>
    <x:xf numFmtId="0" fontId="6" fillId="6" borderId="6" xfId="0" applyNumberFormat="1" applyFont="1" applyFill="1" applyBorder="1" applyAlignment="1">
      <x:alignment horizontal="center" vertical="center"/>
    </x:xf>
    <x:xf numFmtId="200" fontId="6" fillId="6" borderId="1" xfId="0" applyNumberFormat="1" applyFont="1" applyFill="1" applyBorder="1" applyAlignment="1">
      <x:alignment horizontal="center" vertical="center"/>
    </x:xf>
    <x:xf numFmtId="200" fontId="6" fillId="6" borderId="2" xfId="0" applyNumberFormat="1" applyFont="1" applyFill="1" applyBorder="1" applyAlignment="1">
      <x:alignment horizontal="center" vertical="center"/>
    </x:xf>
    <x:xf numFmtId="200" fontId="6" fillId="6" borderId="4" xfId="0" applyNumberFormat="1" applyFont="1" applyFill="1" applyBorder="1" applyAlignment="1">
      <x:alignment horizontal="center" vertical="center"/>
    </x:xf>
    <x:xf numFmtId="200" fontId="6" fillId="6" borderId="5" xfId="0" applyNumberFormat="1" applyFont="1" applyFill="1" applyBorder="1" applyAlignment="1">
      <x:alignment horizontal="center" vertical="center"/>
    </x:xf>
    <x:xf numFmtId="201" fontId="6" fillId="6" borderId="2" xfId="0" applyNumberFormat="1" applyFont="1" applyFill="1" applyBorder="1" applyAlignment="1">
      <x:alignment horizontal="center" vertical="center"/>
    </x:xf>
    <x:xf numFmtId="201" fontId="6" fillId="6" borderId="5" xfId="0" applyNumberFormat="1" applyFont="1" applyFill="1" applyBorder="1" applyAlignment="1">
      <x:alignment horizontal="center" vertical="center"/>
    </x:xf>
    <x:xf numFmtId="202" fontId="6" fillId="6" borderId="2" xfId="0" applyNumberFormat="1" applyFont="1" applyFill="1" applyBorder="1" applyAlignment="1">
      <x:alignment horizontal="center" vertical="center"/>
    </x:xf>
    <x:xf numFmtId="202" fontId="6" fillId="6" borderId="3" xfId="0" applyNumberFormat="1" applyFont="1" applyFill="1" applyBorder="1" applyAlignment="1">
      <x:alignment horizontal="center" vertical="center"/>
    </x:xf>
    <x:xf numFmtId="202" fontId="6" fillId="6" borderId="5" xfId="0" applyNumberFormat="1" applyFont="1" applyFill="1" applyBorder="1" applyAlignment="1">
      <x:alignment horizontal="center" vertical="center"/>
    </x:xf>
    <x:xf numFmtId="202" fontId="6" fillId="6" borderId="6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7" xfId="0" applyNumberFormat="1" applyFont="1" applyFill="1" applyBorder="1"/>
    <x:xf numFmtId="0" fontId="8" fillId="7" borderId="8" xfId="0" applyNumberFormat="1" applyFont="1" applyFill="1" applyBorder="1"/>
    <x:xf numFmtId="0" fontId="8" fillId="7" borderId="9" xfId="0" applyNumberFormat="1" applyFont="1" applyFill="1" applyBorder="1"/>
    <x:xf numFmtId="0" fontId="8" fillId="7" borderId="10" xfId="0" applyNumberFormat="1" applyFont="1" applyFill="1" applyBorder="1"/>
    <x:xf numFmtId="0" fontId="8" fillId="7" borderId="11" xfId="0" applyNumberFormat="1" applyFont="1" applyFill="1" applyBorder="1"/>
    <x:xf numFmtId="0" fontId="8" fillId="7" borderId="12" xfId="0" applyNumberFormat="1" applyFont="1" applyFill="1" applyBorder="1"/>
    <x:xf numFmtId="0" fontId="8" fillId="7" borderId="13" xfId="0" applyNumberFormat="1" applyFont="1" applyFill="1" applyBorder="1"/>
    <x:xf numFmtId="0" fontId="8" fillId="7" borderId="14" xfId="0" applyNumberFormat="1" applyFont="1" applyFill="1" applyBorder="1"/>
    <x:xf numFmtId="0" fontId="8" fillId="7" borderId="7" xfId="0" applyNumberFormat="1" applyFont="1" applyFill="1" applyBorder="1" applyAlignment="1">
      <x:alignment wrapText="1"/>
    </x:xf>
    <x:xf numFmtId="0" fontId="8" fillId="7" borderId="8" xfId="0" applyNumberFormat="1" applyFont="1" applyFill="1" applyBorder="1" applyAlignment="1">
      <x:alignment wrapText="1"/>
    </x:xf>
    <x:xf numFmtId="0" fontId="8" fillId="7" borderId="9" xfId="0" applyNumberFormat="1" applyFont="1" applyFill="1" applyBorder="1" applyAlignment="1">
      <x:alignment wrapText="1"/>
    </x:xf>
    <x:xf numFmtId="0" fontId="8" fillId="7" borderId="1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wrapText="1"/>
    </x:xf>
    <x:xf numFmtId="0" fontId="8" fillId="7" borderId="11" xfId="0" applyNumberFormat="1" applyFont="1" applyFill="1" applyBorder="1" applyAlignment="1">
      <x:alignment wrapText="1"/>
    </x:xf>
    <x:xf numFmtId="0" fontId="8" fillId="7" borderId="12" xfId="0" applyNumberFormat="1" applyFont="1" applyFill="1" applyBorder="1" applyAlignment="1">
      <x:alignment wrapText="1"/>
    </x:xf>
    <x:xf numFmtId="0" fontId="8" fillId="7" borderId="13" xfId="0" applyNumberFormat="1" applyFont="1" applyFill="1" applyBorder="1" applyAlignment="1">
      <x:alignment wrapText="1"/>
    </x:xf>
    <x:xf numFmtId="0" fontId="8" fillId="7" borderId="14" xfId="0" applyNumberFormat="1" applyFont="1" applyFill="1" applyBorder="1" applyAlignment="1">
      <x:alignment wrapText="1"/>
    </x:xf>
    <x:xf numFmtId="0" fontId="8" fillId="7" borderId="7" xfId="0" applyNumberFormat="1" applyFont="1" applyFill="1" applyBorder="1" applyAlignment="1">
      <x:alignment vertical="top" wrapText="1"/>
    </x:xf>
    <x:xf numFmtId="0" fontId="8" fillId="7" borderId="8" xfId="0" applyNumberFormat="1" applyFont="1" applyFill="1" applyBorder="1" applyAlignment="1">
      <x:alignment vertical="top" wrapText="1"/>
    </x:xf>
    <x:xf numFmtId="0" fontId="8" fillId="7" borderId="9" xfId="0" applyNumberFormat="1" applyFont="1" applyFill="1" applyBorder="1" applyAlignment="1">
      <x:alignment vertical="top" wrapText="1"/>
    </x:xf>
    <x:xf numFmtId="0" fontId="8" fillId="7" borderId="10" xfId="0" applyNumberFormat="1" applyFont="1" applyFill="1" applyBorder="1" applyAlignment="1">
      <x:alignment vertical="top" wrapText="1"/>
    </x:xf>
    <x:xf numFmtId="0" fontId="8" fillId="7" borderId="0" xfId="0" applyNumberFormat="1" applyFont="1" applyFill="1" applyBorder="1" applyAlignment="1">
      <x:alignment vertical="top" wrapText="1"/>
    </x:xf>
    <x:xf numFmtId="0" fontId="8" fillId="7" borderId="11" xfId="0" applyNumberFormat="1" applyFont="1" applyFill="1" applyBorder="1" applyAlignment="1">
      <x:alignment vertical="top" wrapText="1"/>
    </x:xf>
    <x:xf numFmtId="0" fontId="8" fillId="7" borderId="12" xfId="0" applyNumberFormat="1" applyFont="1" applyFill="1" applyBorder="1" applyAlignment="1">
      <x:alignment vertical="top" wrapText="1"/>
    </x:xf>
    <x:xf numFmtId="0" fontId="8" fillId="7" borderId="13" xfId="0" applyNumberFormat="1" applyFont="1" applyFill="1" applyBorder="1" applyAlignment="1">
      <x:alignment vertical="top" wrapText="1"/>
    </x:xf>
    <x:xf numFmtId="0" fontId="8" fillId="7" borderId="14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 applyAlignment="1">
      <x:alignment horizontal="center"/>
    </x:xf>
    <x:xf numFmtId="0" fontId="11" fillId="0" borderId="0" xfId="0" applyNumberFormat="1" applyFont="1" applyFill="1" applyBorder="1"/>
    <x:xf numFmtId="0" fontId="12" fillId="4" borderId="0" xfId="0" applyNumberFormat="1" applyFont="1" applyFill="1" applyBorder="1" applyAlignment="1">
      <x:alignment vertical="center"/>
    </x:xf>
    <x:xf numFmtId="0" fontId="13" fillId="5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wrapText="1"/>
    </x:xf>
    <x:xf numFmtId="0" fontId="14" fillId="5" borderId="0" xfId="0" applyNumberFormat="1" applyFont="1" applyFill="1" applyBorder="1" applyAlignment="1">
      <x:alignment horizontal="center"/>
    </x:xf>
    <x:xf numFmtId="200" fontId="15" fillId="6" borderId="1" xfId="0" applyNumberFormat="1" applyFont="1" applyFill="1" applyBorder="1" applyAlignment="1">
      <x:alignment horizontal="center" vertical="center"/>
    </x:xf>
    <x:xf numFmtId="200" fontId="15" fillId="6" borderId="2" xfId="0" applyNumberFormat="1" applyFont="1" applyFill="1" applyBorder="1" applyAlignment="1">
      <x:alignment horizontal="center" vertical="center"/>
    </x:xf>
    <x:xf numFmtId="201" fontId="15" fillId="6" borderId="2" xfId="0" applyNumberFormat="1" applyFont="1" applyFill="1" applyBorder="1" applyAlignment="1">
      <x:alignment horizontal="center" vertical="center"/>
    </x:xf>
    <x:xf numFmtId="202" fontId="15" fillId="6" borderId="2" xfId="0" applyNumberFormat="1" applyFont="1" applyFill="1" applyBorder="1" applyAlignment="1">
      <x:alignment horizontal="center" vertical="center"/>
    </x:xf>
    <x:xf numFmtId="202" fontId="15" fillId="6" borderId="3" xfId="0" applyNumberFormat="1" applyFont="1" applyFill="1" applyBorder="1" applyAlignment="1">
      <x:alignment horizontal="center" vertical="center"/>
    </x:xf>
    <x:xf numFmtId="200" fontId="15" fillId="6" borderId="4" xfId="0" applyNumberFormat="1" applyFont="1" applyFill="1" applyBorder="1" applyAlignment="1">
      <x:alignment horizontal="center" vertical="center"/>
    </x:xf>
    <x:xf numFmtId="200" fontId="15" fillId="6" borderId="5" xfId="0" applyNumberFormat="1" applyFont="1" applyFill="1" applyBorder="1" applyAlignment="1">
      <x:alignment horizontal="center" vertical="center"/>
    </x:xf>
    <x:xf numFmtId="201" fontId="15" fillId="6" borderId="5" xfId="0" applyNumberFormat="1" applyFont="1" applyFill="1" applyBorder="1" applyAlignment="1">
      <x:alignment horizontal="center" vertical="center"/>
    </x:xf>
    <x:xf numFmtId="202" fontId="15" fillId="6" borderId="5" xfId="0" applyNumberFormat="1" applyFont="1" applyFill="1" applyBorder="1" applyAlignment="1">
      <x:alignment horizontal="center" vertical="center"/>
    </x:xf>
    <x:xf numFmtId="202" fontId="15" fillId="6" borderId="6" xfId="0" applyNumberFormat="1" applyFont="1" applyFill="1" applyBorder="1" applyAlignment="1">
      <x:alignment horizontal="center" vertical="center"/>
    </x:xf>
    <x:xf numFmtId="0" fontId="13" fillId="3" borderId="0" xfId="0" applyNumberFormat="1" applyFont="1" applyFill="1" applyBorder="1" applyAlignment="1">
      <x:alignment horizontal="center" wrapText="1"/>
    </x:xf>
    <x:xf numFmtId="0" fontId="16" fillId="6" borderId="0" xfId="0" applyNumberFormat="1" applyFont="1" applyFill="1" applyBorder="1" applyAlignment="1">
      <x:alignment horizontal="center" wrapText="1"/>
    </x:xf>
    <x:xf numFmtId="0" fontId="17" fillId="7" borderId="7" xfId="0" applyNumberFormat="1" applyFont="1" applyFill="1" applyBorder="1" applyAlignment="1">
      <x:alignment vertical="top" wrapText="1"/>
    </x:xf>
    <x:xf numFmtId="0" fontId="17" fillId="7" borderId="8" xfId="0" applyNumberFormat="1" applyFont="1" applyFill="1" applyBorder="1" applyAlignment="1">
      <x:alignment vertical="top" wrapText="1"/>
    </x:xf>
    <x:xf numFmtId="0" fontId="17" fillId="7" borderId="9" xfId="0" applyNumberFormat="1" applyFont="1" applyFill="1" applyBorder="1" applyAlignment="1">
      <x:alignment vertical="top" wrapText="1"/>
    </x:xf>
    <x:xf numFmtId="0" fontId="17" fillId="7" borderId="10" xfId="0" applyNumberFormat="1" applyFont="1" applyFill="1" applyBorder="1" applyAlignment="1">
      <x:alignment vertical="top" wrapText="1"/>
    </x:xf>
    <x:xf numFmtId="0" fontId="17" fillId="7" borderId="0" xfId="0" applyNumberFormat="1" applyFont="1" applyFill="1" applyBorder="1" applyAlignment="1">
      <x:alignment vertical="top" wrapText="1"/>
    </x:xf>
    <x:xf numFmtId="0" fontId="17" fillId="7" borderId="11" xfId="0" applyNumberFormat="1" applyFont="1" applyFill="1" applyBorder="1" applyAlignment="1">
      <x:alignment vertical="top" wrapText="1"/>
    </x:xf>
    <x:xf numFmtId="0" fontId="17" fillId="7" borderId="12" xfId="0" applyNumberFormat="1" applyFont="1" applyFill="1" applyBorder="1" applyAlignment="1">
      <x:alignment vertical="top" wrapText="1"/>
    </x:xf>
    <x:xf numFmtId="0" fontId="17" fillId="7" borderId="13" xfId="0" applyNumberFormat="1" applyFont="1" applyFill="1" applyBorder="1" applyAlignment="1">
      <x:alignment vertical="top" wrapText="1"/>
    </x:xf>
    <x:xf numFmtId="0" fontId="17" fillId="7" borderId="14" xfId="0" applyNumberFormat="1" applyFont="1" applyFill="1" applyBorder="1" applyAlignment="1">
      <x:alignment vertical="top" wrapText="1"/>
    </x:xf>
    <x:xf numFmtId="0" fontId="3" fillId="4" borderId="15" xfId="0" applyNumberFormat="1" applyFont="1" applyFill="1" applyBorder="1"/>
    <x:xf numFmtId="0" fontId="3" fillId="4" borderId="16" xfId="0" applyNumberFormat="1" applyFont="1" applyFill="1" applyBorder="1"/>
    <x:xf numFmtId="0" fontId="3" fillId="4" borderId="17" xfId="0" applyNumberFormat="1" applyFont="1" applyFill="1" applyBorder="1"/>
    <x:xf numFmtId="0" fontId="3" fillId="4" borderId="15" xfId="0" applyNumberFormat="1" applyFont="1" applyFill="1" applyBorder="1" applyAlignment="1">
      <x:alignment wrapText="1"/>
    </x:xf>
    <x:xf numFmtId="0" fontId="3" fillId="4" borderId="16" xfId="0" applyNumberFormat="1" applyFont="1" applyFill="1" applyBorder="1" applyAlignment="1">
      <x:alignment wrapText="1"/>
    </x:xf>
    <x:xf numFmtId="0" fontId="3" fillId="4" borderId="17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horizontal="center" wrapText="1"/>
    </x:xf>
    <x:xf numFmtId="0" fontId="3" fillId="4" borderId="16" xfId="0" applyNumberFormat="1" applyFont="1" applyFill="1" applyBorder="1" applyAlignment="1">
      <x:alignment horizontal="center" wrapText="1"/>
    </x:xf>
    <x:xf numFmtId="0" fontId="3" fillId="4" borderId="17" xfId="0" applyNumberFormat="1" applyFont="1" applyFill="1" applyBorder="1" applyAlignment="1">
      <x:alignment horizontal="center" wrapText="1"/>
    </x:xf>
    <x:xf numFmtId="0" fontId="3" fillId="4" borderId="15" xfId="0" applyNumberFormat="1" applyFont="1" applyFill="1" applyBorder="1" applyAlignment="1">
      <x:alignment horizontal="center" vertical="center" wrapText="1"/>
    </x:xf>
    <x:xf numFmtId="0" fontId="3" fillId="4" borderId="16" xfId="0" applyNumberFormat="1" applyFont="1" applyFill="1" applyBorder="1" applyAlignment="1">
      <x:alignment horizontal="center" vertical="center" wrapText="1"/>
    </x:xf>
    <x:xf numFmtId="0" fontId="3" fillId="4" borderId="17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18" xfId="0" applyNumberFormat="1" applyFont="1" applyFill="1" applyBorder="1"/>
    <x:xf numFmtId="0" fontId="3" fillId="2" borderId="19" xfId="0" applyNumberFormat="1" applyFont="1" applyFill="1" applyBorder="1"/>
    <x:xf numFmtId="0" fontId="3" fillId="2" borderId="20" xfId="0" applyNumberFormat="1" applyFont="1" applyFill="1" applyBorder="1"/>
    <x:xf numFmtId="200" fontId="0" fillId="0" borderId="0" xfId="0" applyNumberFormat="1" applyFont="1" applyFill="1" applyBorder="1"/>
    <x:xf numFmtId="200" fontId="0" fillId="8" borderId="0" xfId="0" applyNumberFormat="1" applyFont="1" applyFill="1" applyBorder="1"/>
    <x:xf numFmtId="200" fontId="18" fillId="8" borderId="0" xfId="0" applyNumberFormat="1" applyFont="1" applyFill="1" applyBorder="1"/>
    <x:xf numFmtId="200" fontId="18" fillId="8" borderId="0" xfId="0" applyNumberFormat="1" applyFont="1" applyFill="1" applyBorder="1" applyAlignment="1">
      <x:alignment wrapText="1"/>
    </x:xf>
    <x:xf numFmtId="0" fontId="3" fillId="2" borderId="18" xfId="0" applyNumberFormat="1" applyFont="1" applyFill="1" applyBorder="1" applyAlignment="1">
      <x:alignment wrapText="1"/>
    </x:xf>
    <x:xf numFmtId="0" fontId="3" fillId="2" borderId="19" xfId="0" applyNumberFormat="1" applyFont="1" applyFill="1" applyBorder="1" applyAlignment="1">
      <x:alignment wrapText="1"/>
    </x:xf>
    <x:xf numFmtId="0" fontId="3" fillId="2" borderId="20" xfId="0" applyNumberFormat="1" applyFont="1" applyFill="1" applyBorder="1" applyAlignment="1">
      <x:alignment wrapText="1"/>
    </x:xf>
    <x:xf numFmtId="0" fontId="12" fillId="4" borderId="15" xfId="0" applyNumberFormat="1" applyFont="1" applyFill="1" applyBorder="1" applyAlignment="1">
      <x:alignment horizontal="center" vertical="center" wrapText="1"/>
    </x:xf>
    <x:xf numFmtId="0" fontId="12" fillId="4" borderId="16" xfId="0" applyNumberFormat="1" applyFont="1" applyFill="1" applyBorder="1" applyAlignment="1">
      <x:alignment horizontal="center" vertical="center" wrapText="1"/>
    </x:xf>
    <x:xf numFmtId="0" fontId="12" fillId="4" borderId="17" xfId="0" applyNumberFormat="1" applyFont="1" applyFill="1" applyBorder="1" applyAlignment="1">
      <x:alignment horizontal="center" vertical="center" wrapText="1"/>
    </x:xf>
    <x:xf numFmtId="200" fontId="19" fillId="8" borderId="0" xfId="0" applyNumberFormat="1" applyFont="1" applyFill="1" applyBorder="1" applyAlignment="1">
      <x:alignment wrapText="1"/>
    </x:xf>
    <x:xf numFmtId="0" fontId="12" fillId="2" borderId="18" xfId="0" applyNumberFormat="1" applyFont="1" applyFill="1" applyBorder="1" applyAlignment="1">
      <x:alignment wrapText="1"/>
    </x:xf>
    <x:xf numFmtId="0" fontId="12" fillId="2" borderId="19" xfId="0" applyNumberFormat="1" applyFont="1" applyFill="1" applyBorder="1" applyAlignment="1">
      <x:alignment wrapText="1"/>
    </x:xf>
    <x:xf numFmtId="0" fontId="12" fillId="2" borderId="2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8" fillId="8" borderId="0" xfId="0" applyNumberFormat="1" applyFont="1" applyFill="1" applyBorder="1"/>
    <x:xf numFmtId="203" fontId="18" fillId="8" borderId="0" xfId="0" applyNumberFormat="1" applyFont="1" applyFill="1" applyBorder="1"/>
    <x:xf numFmtId="202" fontId="18" fillId="8" borderId="0" xfId="0" applyNumberFormat="1" applyFont="1" applyFill="1" applyBorder="1"/>
    <x:xf numFmtId="0" fontId="7" fillId="6" borderId="0" xfId="0" applyNumberFormat="1" applyFont="1" applyFill="1" applyBorder="1"/>
    <x:xf numFmtId="0" fontId="0" fillId="9" borderId="0" xfId="0" applyNumberFormat="1" applyFont="1" applyFill="1" applyBorder="1"/>
    <x:xf numFmtId="0" fontId="20" fillId="9" borderId="0" xfId="0" applyNumberFormat="1" applyFont="1" applyFill="1" applyBorder="1"/>
    <x:xf numFmtId="0" fontId="20" fillId="9" borderId="21" xfId="0" applyNumberFormat="1" applyFont="1" applyFill="1" applyBorder="1"/>
    <x:xf numFmtId="0" fontId="20" fillId="9" borderId="22" xfId="0" applyNumberFormat="1" applyFont="1" applyFill="1" applyBorder="1"/>
    <x:xf numFmtId="203" fontId="0" fillId="0" borderId="0" xfId="0" applyNumberFormat="1" applyFont="1" applyFill="1" applyBorder="1"/>
    <x:xf numFmtId="203" fontId="7" fillId="6" borderId="0" xfId="0" applyNumberFormat="1" applyFont="1" applyFill="1" applyBorder="1"/>
    <x:xf numFmtId="203" fontId="20" fillId="9" borderId="22" xfId="0" applyNumberFormat="1" applyFont="1" applyFill="1" applyBorder="1"/>
    <x:xf numFmtId="0" fontId="13" fillId="5" borderId="0" xfId="0" applyNumberFormat="1" applyFont="1" applyFill="1" applyBorder="1"/>
    <x:xf numFmtId="203" fontId="19" fillId="8" borderId="0" xfId="0" applyNumberFormat="1" applyFont="1" applyFill="1" applyBorder="1"/>
    <x:xf numFmtId="202" fontId="19" fillId="8" borderId="0" xfId="0" applyNumberFormat="1" applyFont="1" applyFill="1" applyBorder="1"/>
    <x:xf numFmtId="200" fontId="19" fillId="8" borderId="0" xfId="0" applyNumberFormat="1" applyFont="1" applyFill="1" applyBorder="1"/>
    <x:xf numFmtId="0" fontId="11" fillId="6" borderId="0" xfId="0" applyNumberFormat="1" applyFont="1" applyFill="1" applyBorder="1" applyAlignment="1">
      <x:alignment wrapText="1"/>
    </x:xf>
    <x:xf numFmtId="0" fontId="19" fillId="8" borderId="0" xfId="0" applyNumberFormat="1" applyFont="1" applyFill="1" applyBorder="1"/>
    <x:xf numFmtId="203" fontId="11" fillId="0" borderId="0" xfId="0" applyNumberFormat="1" applyFont="1" applyFill="1" applyBorder="1"/>
    <x:xf numFmtId="0" fontId="16" fillId="6" borderId="0" xfId="0" applyNumberFormat="1" applyFont="1" applyFill="1" applyBorder="1"/>
    <x:xf numFmtId="203" fontId="16" fillId="6" borderId="0" xfId="0" applyNumberFormat="1" applyFont="1" applyFill="1" applyBorder="1"/>
    <x:xf numFmtId="200" fontId="11" fillId="0" borderId="0" xfId="0" applyNumberFormat="1" applyFont="1" applyFill="1" applyBorder="1"/>
    <x:xf numFmtId="0" fontId="21" fillId="9" borderId="21" xfId="0" applyNumberFormat="1" applyFont="1" applyFill="1" applyBorder="1"/>
    <x:xf numFmtId="203" fontId="21" fillId="9" borderId="22" xfId="0" applyNumberFormat="1" applyFont="1" applyFill="1" applyBorder="1"/>
    <x:xf numFmtId="200" fontId="3" fillId="2" borderId="0" xfId="0" applyNumberFormat="1" applyFont="1" applyFill="1" applyBorder="1"/>
    <x:xf numFmtId="202" fontId="0" fillId="0" borderId="0" xfId="0" applyNumberFormat="1" applyFont="1" applyFill="1" applyBorder="1"/>
    <x:xf numFmtId="202" fontId="3" fillId="2" borderId="0" xfId="0" applyNumberFormat="1" applyFont="1" applyFill="1" applyBorder="1"/>
    <x:xf numFmtId="203" fontId="3" fillId="2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0" fontId="11" fillId="0" borderId="0" xfId="0" applyNumberFormat="1" applyFont="1" applyFill="1" applyBorder="1" applyAlignment="1">
      <x:alignment wrapText="1"/>
    </x:xf>
    <x:xf numFmtId="202" fontId="11" fillId="0" borderId="0" xfId="0" applyNumberFormat="1" applyFont="1" applyFill="1" applyBorder="1" applyAlignment="1">
      <x:alignment wrapText="1"/>
    </x:xf>
    <x:xf numFmtId="203" fontId="11" fillId="0" borderId="0" xfId="0" applyNumberFormat="1" applyFont="1" applyFill="1" applyBorder="1" applyAlignment="1">
      <x:alignment wrapText="1"/>
    </x:xf>
    <x:xf numFmtId="0" fontId="12" fillId="2" borderId="0" xfId="0" applyNumberFormat="1" applyFont="1" applyFill="1" applyBorder="1"/>
    <x:xf numFmtId="200" fontId="12" fillId="2" borderId="0" xfId="0" applyNumberFormat="1" applyFont="1" applyFill="1" applyBorder="1"/>
    <x:xf numFmtId="202" fontId="12" fillId="2" borderId="0" xfId="0" applyNumberFormat="1" applyFont="1" applyFill="1" applyBorder="1"/>
    <x:xf numFmtId="203" fontId="12" fillId="2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 wrapText="1"/>
    </x:xf>
    <x:xf numFmtId="0" fontId="18" fillId="8" borderId="0" xfId="0" applyNumberFormat="1" applyFont="1" applyFill="1" applyBorder="1" applyAlignment="1">
      <x:alignment wrapText="1"/>
    </x:xf>
    <x:xf numFmtId="0" fontId="12" fillId="4" borderId="0" xfId="0" applyNumberFormat="1" applyFont="1" applyFill="1" applyBorder="1" applyAlignment="1">
      <x:alignment vertical="center" wrapText="1"/>
    </x:xf>
    <x:xf numFmtId="0" fontId="19" fillId="8" borderId="0" xfId="0" applyNumberFormat="1" applyFont="1" applyFill="1" applyBorder="1" applyAlignment="1">
      <x:alignment wrapText="1"/>
    </x:xf>
    <x:xf numFmtId="0" fontId="10" fillId="3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 applyAlignment="1">
      <x:alignment vertical="center"/>
    </x:xf>
    <x:xf numFmtId="0" fontId="13" fillId="5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vertical="center" wrapText="1"/>
    </x:xf>
    <x:xf numFmtId="0" fontId="14" fillId="5" borderId="0" xfId="0" applyNumberFormat="1" applyFont="1" applyFill="1" applyBorder="1" applyAlignment="1">
      <x:alignment horizontal="center" vertical="center"/>
    </x:xf>
    <x:xf numFmtId="0" fontId="13" fillId="3" borderId="0" xfId="0" applyNumberFormat="1" applyFont="1" applyFill="1" applyBorder="1" applyAlignment="1">
      <x:alignment horizontal="center" vertical="center" wrapText="1"/>
    </x:xf>
    <x:xf numFmtId="0" fontId="16" fillId="6" borderId="0" xfId="0" applyNumberFormat="1" applyFont="1" applyFill="1" applyBorder="1" applyAlignment="1">
      <x:alignment horizontal="center" vertical="center" wrapText="1"/>
    </x:xf>
    <x:xf numFmtId="0" fontId="17" fillId="7" borderId="7" xfId="0" applyNumberFormat="1" applyFont="1" applyFill="1" applyBorder="1" applyAlignment="1">
      <x:alignment vertical="center" wrapText="1"/>
    </x:xf>
    <x:xf numFmtId="0" fontId="17" fillId="7" borderId="8" xfId="0" applyNumberFormat="1" applyFont="1" applyFill="1" applyBorder="1" applyAlignment="1">
      <x:alignment vertical="center" wrapText="1"/>
    </x:xf>
    <x:xf numFmtId="0" fontId="17" fillId="7" borderId="9" xfId="0" applyNumberFormat="1" applyFont="1" applyFill="1" applyBorder="1" applyAlignment="1">
      <x:alignment vertical="center" wrapText="1"/>
    </x:xf>
    <x:xf numFmtId="0" fontId="17" fillId="7" borderId="10" xfId="0" applyNumberFormat="1" applyFont="1" applyFill="1" applyBorder="1" applyAlignment="1">
      <x:alignment vertical="center" wrapText="1"/>
    </x:xf>
    <x:xf numFmtId="0" fontId="17" fillId="7" borderId="0" xfId="0" applyNumberFormat="1" applyFont="1" applyFill="1" applyBorder="1" applyAlignment="1">
      <x:alignment vertical="center" wrapText="1"/>
    </x:xf>
    <x:xf numFmtId="0" fontId="17" fillId="7" borderId="11" xfId="0" applyNumberFormat="1" applyFont="1" applyFill="1" applyBorder="1" applyAlignment="1">
      <x:alignment vertical="center" wrapText="1"/>
    </x:xf>
    <x:xf numFmtId="0" fontId="17" fillId="7" borderId="12" xfId="0" applyNumberFormat="1" applyFont="1" applyFill="1" applyBorder="1" applyAlignment="1">
      <x:alignment vertical="center" wrapText="1"/>
    </x:xf>
    <x:xf numFmtId="0" fontId="17" fillId="7" borderId="13" xfId="0" applyNumberFormat="1" applyFont="1" applyFill="1" applyBorder="1" applyAlignment="1">
      <x:alignment vertical="center" wrapText="1"/>
    </x:xf>
    <x:xf numFmtId="0" fontId="17" fillId="7" borderId="14" xfId="0" applyNumberFormat="1" applyFont="1" applyFill="1" applyBorder="1" applyAlignment="1">
      <x:alignment vertical="center" wrapText="1"/>
    </x:xf>
    <x:xf numFmtId="200" fontId="19" fillId="8" borderId="0" xfId="0" applyNumberFormat="1" applyFont="1" applyFill="1" applyBorder="1" applyAlignment="1">
      <x:alignment vertical="center" wrapText="1"/>
    </x:xf>
    <x:xf numFmtId="0" fontId="12" fillId="2" borderId="18" xfId="0" applyNumberFormat="1" applyFont="1" applyFill="1" applyBorder="1" applyAlignment="1">
      <x:alignment vertical="center" wrapText="1"/>
    </x:xf>
    <x:xf numFmtId="0" fontId="12" fillId="2" borderId="19" xfId="0" applyNumberFormat="1" applyFont="1" applyFill="1" applyBorder="1" applyAlignment="1">
      <x:alignment vertical="center" wrapText="1"/>
    </x:xf>
    <x:xf numFmtId="0" fontId="12" fillId="2" borderId="20" xfId="0" applyNumberFormat="1" applyFont="1" applyFill="1" applyBorder="1" applyAlignment="1">
      <x:alignment vertical="center" wrapText="1"/>
    </x:xf>
    <x:xf numFmtId="0" fontId="13" fillId="5" borderId="0" xfId="0" applyNumberFormat="1" applyFont="1" applyFill="1" applyBorder="1" applyAlignment="1">
      <x:alignment vertical="center"/>
    </x:xf>
    <x:xf numFmtId="203" fontId="19" fillId="8" borderId="0" xfId="0" applyNumberFormat="1" applyFont="1" applyFill="1" applyBorder="1" applyAlignment="1">
      <x:alignment vertical="center"/>
    </x:xf>
    <x:xf numFmtId="202" fontId="19" fillId="8" borderId="0" xfId="0" applyNumberFormat="1" applyFont="1" applyFill="1" applyBorder="1" applyAlignment="1">
      <x:alignment vertical="center"/>
    </x:xf>
    <x:xf numFmtId="200" fontId="19" fillId="8" borderId="0" xfId="0" applyNumberFormat="1" applyFont="1" applyFill="1" applyBorder="1" applyAlignment="1">
      <x:alignment vertical="center"/>
    </x:xf>
    <x:xf numFmtId="0" fontId="11" fillId="6" borderId="0" xfId="0" applyNumberFormat="1" applyFont="1" applyFill="1" applyBorder="1" applyAlignment="1">
      <x:alignment vertical="center" wrapText="1"/>
    </x:xf>
    <x:xf numFmtId="0" fontId="19" fillId="8" borderId="0" xfId="0" applyNumberFormat="1" applyFont="1" applyFill="1" applyBorder="1" applyAlignment="1">
      <x:alignment vertical="center"/>
    </x:xf>
    <x:xf numFmtId="203" fontId="11" fillId="0" borderId="0" xfId="0" applyNumberFormat="1" applyFont="1" applyFill="1" applyBorder="1" applyAlignment="1">
      <x:alignment vertical="center"/>
    </x:xf>
    <x:xf numFmtId="0" fontId="16" fillId="6" borderId="0" xfId="0" applyNumberFormat="1" applyFont="1" applyFill="1" applyBorder="1" applyAlignment="1">
      <x:alignment vertical="center"/>
    </x:xf>
    <x:xf numFmtId="203" fontId="16" fillId="6" borderId="0" xfId="0" applyNumberFormat="1" applyFont="1" applyFill="1" applyBorder="1" applyAlignment="1">
      <x:alignment vertical="center"/>
    </x:xf>
    <x:xf numFmtId="200" fontId="11" fillId="0" borderId="0" xfId="0" applyNumberFormat="1" applyFont="1" applyFill="1" applyBorder="1" applyAlignment="1">
      <x:alignment vertical="center"/>
    </x:xf>
    <x:xf numFmtId="0" fontId="21" fillId="9" borderId="21" xfId="0" applyNumberFormat="1" applyFont="1" applyFill="1" applyBorder="1" applyAlignment="1">
      <x:alignment vertical="center"/>
    </x:xf>
    <x:xf numFmtId="203" fontId="21" fillId="9" borderId="22" xfId="0" applyNumberFormat="1" applyFont="1" applyFill="1" applyBorder="1" applyAlignment="1">
      <x:alignment vertical="center"/>
    </x:xf>
    <x:xf numFmtId="200" fontId="11" fillId="0" borderId="0" xfId="0" applyNumberFormat="1" applyFont="1" applyFill="1" applyBorder="1" applyAlignment="1">
      <x:alignment vertical="center" wrapText="1"/>
    </x:xf>
    <x:xf numFmtId="202" fontId="11" fillId="0" borderId="0" xfId="0" applyNumberFormat="1" applyFont="1" applyFill="1" applyBorder="1" applyAlignment="1">
      <x:alignment vertical="center" wrapText="1"/>
    </x:xf>
    <x:xf numFmtId="203" fontId="11" fillId="0" borderId="0" xfId="0" applyNumberFormat="1" applyFont="1" applyFill="1" applyBorder="1" applyAlignment="1">
      <x:alignment vertical="center" wrapText="1"/>
    </x:xf>
    <x:xf numFmtId="0" fontId="12" fillId="2" borderId="0" xfId="0" applyNumberFormat="1" applyFont="1" applyFill="1" applyBorder="1" applyAlignment="1">
      <x:alignment vertical="center"/>
    </x:xf>
    <x:xf numFmtId="200" fontId="12" fillId="2" borderId="0" xfId="0" applyNumberFormat="1" applyFont="1" applyFill="1" applyBorder="1" applyAlignment="1">
      <x:alignment vertical="center"/>
    </x:xf>
    <x:xf numFmtId="202" fontId="12" fillId="2" borderId="0" xfId="0" applyNumberFormat="1" applyFont="1" applyFill="1" applyBorder="1" applyAlignment="1">
      <x:alignment vertical="center"/>
    </x:xf>
    <x:xf numFmtId="203" fontId="12" fillId="2" borderId="0" xfId="0" applyNumberFormat="1" applyFont="1" applyFill="1" applyBorder="1" applyAlignment="1">
      <x:alignment vertical="center"/>
    </x:xf>
    <x:xf numFmtId="0" fontId="19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14b7bbec694982" /><Relationship Type="http://schemas.openxmlformats.org/officeDocument/2006/relationships/theme" Target="/xl/theme/theme1.xml" Id="Rcd79a243aea54d78" /><Relationship Type="http://schemas.openxmlformats.org/officeDocument/2006/relationships/sharedStrings" Target="/xl/sharedStrings.xml" Id="Rd31a15bde3094a46" /><Relationship Type="http://schemas.openxmlformats.org/officeDocument/2006/relationships/worksheet" Target="/xl/worksheets/sheet1.xml" Id="R06f81d3e35a94816" /><Relationship Type="http://schemas.openxmlformats.org/officeDocument/2006/relationships/worksheet" Target="/xl/worksheets/sheet2.xml" Id="R63b1491dd6c04c03" /><Relationship Type="http://schemas.openxmlformats.org/officeDocument/2006/relationships/worksheet" Target="/xl/worksheets/sheet3.xml" Id="R6c80181b8c5b4881" /><Relationship Type="http://schemas.openxmlformats.org/officeDocument/2006/relationships/worksheet" Target="/xl/worksheets/sheet4.xml" Id="Rf8beb40edcda4cfb" /><Relationship Type="http://schemas.openxmlformats.org/officeDocument/2006/relationships/worksheet" Target="/xl/worksheets/sheet5.xml" Id="R9ebb81952fd24178" /><Relationship Type="http://schemas.openxmlformats.org/officeDocument/2006/relationships/worksheet" Target="/xl/worksheets/sheet6.xml" Id="R683ee69db2b24246" /><Relationship Type="http://schemas.openxmlformats.org/officeDocument/2006/relationships/worksheet" Target="/xl/worksheets/sheet7.xml" Id="R0989e036bdf54de4" /><Relationship Type="http://schemas.microsoft.com/office/2017/10/relationships/person" Target="/xl/persons/person.xml" Id="R3d6bf5c5b37c4e1f" /></Relationships>
</file>

<file path=xl/persons/person.xml><?xml version="1.0" encoding="utf-8"?>
<xltc:personList xmlns:xltc="http://schemas.microsoft.com/office/spreadsheetml/2018/threadedcomments">
  <xltc:person displayName="Muhammad Khalid Khan" id="{8A082B11-3B6F-4306-87D9-09463CBE6C56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5" dT="2026-07-16T01:35:41.47" personId="{8A082B11-3B6F-4306-87D9-09463CBE6C56}" id="{D4DC4271-1D84-0A23-C2E3-256DD22774A0}">
    <xltc:text>Change this rate to match your Upwork profile and the client's budget.</xltc:text>
  </xltc:threadedComment>
</xltc:ThreadedComment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763b6f89ce784fa1" /><Relationship Type="http://schemas.openxmlformats.org/officeDocument/2006/relationships/vmlDrawing" Target="/xl/drawings/vmldrawing.vml" Id="R12ad04f2c5f74a7e" /><Relationship Type="http://schemas.microsoft.com/office/2017/10/relationships/threadedComment" Target="/xl/threadedcomments/threadedcomment.xml" Id="R2faf6691521549d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4" customHeight="1">
      <x:c r="A1" s="80" t="str">
        <x:v>UPWORK BID ESTIMATE — SYSLOG-NG CENTRALIZED LOGGING</x:v>
      </x:c>
      <x:c r="B1" s="80" t="str">
        <x:v>UPWORK BID ESTIMATE — SYSLOG-NG CENTRALIZED LOGGING</x:v>
      </x:c>
      <x:c r="C1" s="80" t="str">
        <x:v>UPWORK BID ESTIMATE — SYSLOG-NG CENTRALIZED LOGGING</x:v>
      </x:c>
      <x:c r="D1" s="80" t="str">
        <x:v>UPWORK BID ESTIMATE — SYSLOG-NG CENTRALIZED LOGGING</x:v>
      </x:c>
      <x:c r="E1" s="80" t="str">
        <x:v>UPWORK BID ESTIMATE — SYSLOG-NG CENTRALIZED LOGGING</x:v>
      </x:c>
      <x:c r="F1" s="80" t="str">
        <x:v>UPWORK BID ESTIMATE — SYSLOG-NG CENTRALIZED LOGGING</x:v>
      </x:c>
      <x:c r="G1" s="80" t="str">
        <x:v>UPWORK BID ESTIMATE — SYSLOG-NG CENTRALIZED LOGGING</x:v>
      </x:c>
      <x:c r="H1" s="80" t="str">
        <x:v>UPWORK BID ESTIMATE — SYSLOG-NG CENTRALIZED LOGGING</x:v>
      </x:c>
    </x:row>
    <x:row r="2" ht="34" customHeight="1">
      <x:c r="A2" s="80" t="str">
        <x:v>UPWORK BID ESTIMATE — SYSLOG-NG CENTRALIZED LOGGING</x:v>
      </x:c>
      <x:c r="B2" s="80" t="str">
        <x:v>UPWORK BID ESTIMATE — SYSLOG-NG CENTRALIZED LOGGING</x:v>
      </x:c>
      <x:c r="C2" s="80" t="str">
        <x:v>UPWORK BID ESTIMATE — SYSLOG-NG CENTRALIZED LOGGING</x:v>
      </x:c>
      <x:c r="D2" s="80" t="str">
        <x:v>UPWORK BID ESTIMATE — SYSLOG-NG CENTRALIZED LOGGING</x:v>
      </x:c>
      <x:c r="E2" s="80" t="str">
        <x:v>UPWORK BID ESTIMATE — SYSLOG-NG CENTRALIZED LOGGING</x:v>
      </x:c>
      <x:c r="F2" s="80" t="str">
        <x:v>UPWORK BID ESTIMATE — SYSLOG-NG CENTRALIZED LOGGING</x:v>
      </x:c>
      <x:c r="G2" s="80" t="str">
        <x:v>UPWORK BID ESTIMATE — SYSLOG-NG CENTRALIZED LOGGING</x:v>
      </x:c>
      <x:c r="H2" s="80" t="str">
        <x:v>UPWORK BID ESTIMATE — SYSLOG-NG CENTRALIZED LOGGING</x:v>
      </x:c>
    </x:row>
    <x:row r="3" ht="22" customHeight="1">
      <x:c r="A3" s="180" t="str">
        <x:v>Editable estimate for scope, effort, cost, milestones, risks and acceptance</x:v>
      </x:c>
      <x:c r="B3" s="180"/>
      <x:c r="C3" s="180"/>
      <x:c r="D3" s="180"/>
      <x:c r="E3" s="180"/>
      <x:c r="F3" s="180"/>
      <x:c r="G3" s="180"/>
      <x:c r="H3" s="180"/>
    </x:row>
    <x:row r="4">
      <x:c r="A4" s="181"/>
      <x:c r="B4" s="181"/>
      <x:c r="C4" s="181"/>
      <x:c r="D4" s="181"/>
      <x:c r="E4" s="181"/>
      <x:c r="F4" s="181"/>
      <x:c r="G4" s="181"/>
      <x:c r="H4" s="181"/>
    </x:row>
    <x:row r="5" ht="23" customHeight="1">
      <x:c r="A5" s="83" t="str">
        <x:v>PROJECT INFORMATION</x:v>
      </x:c>
      <x:c r="B5" s="83" t="str">
        <x:v>PROJECT INFORMATION</x:v>
      </x:c>
      <x:c r="C5" s="83" t="str">
        <x:v>PROJECT INFORMATION</x:v>
      </x:c>
      <x:c r="D5" s="83" t="str">
        <x:v>PROJECT INFORMATION</x:v>
      </x:c>
      <x:c r="E5" s="83" t="str">
        <x:v>PROJECT INFORMATION</x:v>
      </x:c>
      <x:c r="F5" s="83" t="str">
        <x:v>PROJECT INFORMATION</x:v>
      </x:c>
      <x:c r="G5" s="83" t="str">
        <x:v>PROJECT INFORMATION</x:v>
      </x:c>
      <x:c r="H5" s="83" t="str">
        <x:v>PROJECT INFORMATION</x:v>
      </x:c>
    </x:row>
    <x:row r="6" ht="24" customHeight="1">
      <x:c r="A6" s="182" t="str">
        <x:v>Project</x:v>
      </x:c>
      <x:c r="B6" s="183" t="str">
        <x:v>Syslog-ng implementation on Red Hat Enterprise Linux</x:v>
      </x:c>
      <x:c r="C6" s="183"/>
      <x:c r="D6" s="183"/>
      <x:c r="E6" s="183"/>
      <x:c r="F6" s="183"/>
      <x:c r="G6" s="183"/>
      <x:c r="H6" s="183"/>
    </x:row>
    <x:row r="7" ht="24" customHeight="1">
      <x:c r="A7" s="182" t="str">
        <x:v>Prepared by</x:v>
      </x:c>
      <x:c r="B7" s="183" t="str">
        <x:v>Muhammad Khalid Khan</x:v>
      </x:c>
      <x:c r="C7" s="183"/>
      <x:c r="D7" s="183"/>
      <x:c r="E7" s="183"/>
      <x:c r="F7" s="183"/>
      <x:c r="G7" s="183"/>
      <x:c r="H7" s="183"/>
    </x:row>
    <x:row r="8" ht="24" customHeight="1">
      <x:c r="A8" s="182" t="str">
        <x:v>Bid model</x:v>
      </x:c>
      <x:c r="B8" s="183" t="str">
        <x:v>Fixed price calculated from estimated hours</x:v>
      </x:c>
      <x:c r="C8" s="183"/>
      <x:c r="D8" s="183"/>
      <x:c r="E8" s="183"/>
      <x:c r="F8" s="183"/>
      <x:c r="G8" s="183"/>
      <x:c r="H8" s="183"/>
    </x:row>
    <x:row r="9" ht="24" customHeight="1">
      <x:c r="A9" s="182" t="str">
        <x:v>Recommended package</x:v>
      </x:c>
      <x:c r="B9" s="183" t="str">
        <x:v>Production Standard</x:v>
      </x:c>
      <x:c r="C9" s="183"/>
      <x:c r="D9" s="183"/>
      <x:c r="E9" s="183"/>
      <x:c r="F9" s="183"/>
      <x:c r="G9" s="183"/>
      <x:c r="H9" s="183"/>
    </x:row>
    <x:row r="10" ht="24" customHeight="1">
      <x:c r="A10" s="182" t="str">
        <x:v>Estimate validity</x:v>
      </x:c>
      <x:c r="B10" s="183" t="str">
        <x:v>14 calendar days</x:v>
      </x:c>
      <x:c r="C10" s="183"/>
      <x:c r="D10" s="183"/>
      <x:c r="E10" s="183"/>
      <x:c r="F10" s="183"/>
      <x:c r="G10" s="183"/>
      <x:c r="H10" s="183"/>
    </x:row>
    <x:row r="11">
      <x:c r="A11" s="181"/>
      <x:c r="B11" s="181"/>
      <x:c r="C11" s="181"/>
      <x:c r="D11" s="181"/>
      <x:c r="E11" s="181"/>
      <x:c r="F11" s="181"/>
      <x:c r="G11" s="181"/>
      <x:c r="H11" s="181"/>
    </x:row>
    <x:row r="12" ht="23" customHeight="1">
      <x:c r="A12" s="83" t="str">
        <x:v>BID AT A GLANCE</x:v>
      </x:c>
      <x:c r="B12" s="83" t="str">
        <x:v>BID AT A GLANCE</x:v>
      </x:c>
      <x:c r="C12" s="83" t="str">
        <x:v>BID AT A GLANCE</x:v>
      </x:c>
      <x:c r="D12" s="83" t="str">
        <x:v>BID AT A GLANCE</x:v>
      </x:c>
      <x:c r="E12" s="83" t="str">
        <x:v>BID AT A GLANCE</x:v>
      </x:c>
      <x:c r="F12" s="83" t="str">
        <x:v>BID AT A GLANCE</x:v>
      </x:c>
      <x:c r="G12" s="83" t="str">
        <x:v>BID AT A GLANCE</x:v>
      </x:c>
      <x:c r="H12" s="83" t="str">
        <x:v>BID AT A GLANCE</x:v>
      </x:c>
    </x:row>
    <x:row r="13">
      <x:c r="A13" s="184" t="str">
        <x:v>TOTAL HOURS</x:v>
      </x:c>
      <x:c r="B13" s="184"/>
      <x:c r="C13" s="184" t="str">
        <x:v>WORKING DAYS</x:v>
      </x:c>
      <x:c r="D13" s="184"/>
      <x:c r="E13" s="184" t="str">
        <x:v>PROPOSED BID</x:v>
      </x:c>
      <x:c r="F13" s="184"/>
      <x:c r="G13" s="184" t="str">
        <x:v>CONTINGENCY</x:v>
      </x:c>
      <x:c r="H13" s="184"/>
    </x:row>
    <x:row r="14">
      <x:c r="A14" s="87" t="n">
        <x:f>'Pricing Calculator'!B16</x:f>
        <x:v>80</x:v>
      </x:c>
      <x:c r="B14" s="88"/>
      <x:c r="C14" s="88" t="n">
        <x:f>'Pricing Calculator'!B17</x:f>
        <x:v>10</x:v>
      </x:c>
      <x:c r="D14" s="88"/>
      <x:c r="E14" s="89" t="n">
        <x:f>'Pricing Calculator'!B19</x:f>
        <x:v>3550</x:v>
      </x:c>
      <x:c r="F14" s="89"/>
      <x:c r="G14" s="90" t="n">
        <x:f>'Pricing Calculator'!B6</x:f>
        <x:v>0.1</x:v>
      </x:c>
      <x:c r="H14" s="91"/>
    </x:row>
    <x:row r="15">
      <x:c r="A15" s="92"/>
      <x:c r="B15" s="93"/>
      <x:c r="C15" s="93"/>
      <x:c r="D15" s="93"/>
      <x:c r="E15" s="94"/>
      <x:c r="F15" s="94"/>
      <x:c r="G15" s="95"/>
      <x:c r="H15" s="96"/>
    </x:row>
    <x:row r="16">
      <x:c r="A16" s="181"/>
      <x:c r="B16" s="181"/>
      <x:c r="C16" s="181"/>
      <x:c r="D16" s="181"/>
      <x:c r="E16" s="181"/>
      <x:c r="F16" s="181"/>
      <x:c r="G16" s="181"/>
      <x:c r="H16" s="181"/>
    </x:row>
    <x:row r="17" ht="23" customHeight="1">
      <x:c r="A17" s="83" t="str">
        <x:v>DELIVERABLES INCLUDED</x:v>
      </x:c>
      <x:c r="B17" s="83" t="str">
        <x:v>DELIVERABLES INCLUDED</x:v>
      </x:c>
      <x:c r="C17" s="83" t="str">
        <x:v>DELIVERABLES INCLUDED</x:v>
      </x:c>
      <x:c r="D17" s="83" t="str">
        <x:v>DELIVERABLES INCLUDED</x:v>
      </x:c>
      <x:c r="E17" s="83" t="str">
        <x:v>DELIVERABLES INCLUDED</x:v>
      </x:c>
      <x:c r="F17" s="83" t="str">
        <x:v>DELIVERABLES INCLUDED</x:v>
      </x:c>
      <x:c r="G17" s="83" t="str">
        <x:v>DELIVERABLES INCLUDED</x:v>
      </x:c>
      <x:c r="H17" s="83" t="str">
        <x:v>DELIVERABLES INCLUDED</x:v>
      </x:c>
    </x:row>
    <x:row r="18" ht="25" customHeight="1">
      <x:c r="A18" s="185" t="str">
        <x:v>1</x:v>
      </x:c>
      <x:c r="B18" s="183" t="str">
        <x:v>Install and validate syslog-ng on RHEL</x:v>
      </x:c>
      <x:c r="C18" s="183"/>
      <x:c r="D18" s="183"/>
      <x:c r="E18" s="183"/>
      <x:c r="F18" s="183"/>
      <x:c r="G18" s="183"/>
      <x:c r="H18" s="186" t="str">
        <x:v>Included</x:v>
      </x:c>
    </x:row>
    <x:row r="19" ht="25" customHeight="1">
      <x:c r="A19" s="185" t="str">
        <x:v>2</x:v>
      </x:c>
      <x:c r="B19" s="183" t="str">
        <x:v>Configure approved TCP/UDP listening ports</x:v>
      </x:c>
      <x:c r="C19" s="183"/>
      <x:c r="D19" s="183"/>
      <x:c r="E19" s="183"/>
      <x:c r="F19" s="183"/>
      <x:c r="G19" s="183"/>
      <x:c r="H19" s="186" t="str">
        <x:v>Included</x:v>
      </x:c>
    </x:row>
    <x:row r="20" ht="25" customHeight="1">
      <x:c r="A20" s="185" t="str">
        <x:v>3</x:v>
      </x:c>
      <x:c r="B20" s="183" t="str">
        <x:v>Store logs by listening port, source IP and date</x:v>
      </x:c>
      <x:c r="C20" s="183"/>
      <x:c r="D20" s="183"/>
      <x:c r="E20" s="183"/>
      <x:c r="F20" s="183"/>
      <x:c r="G20" s="183"/>
      <x:c r="H20" s="186" t="str">
        <x:v>Included</x:v>
      </x:c>
    </x:row>
    <x:row r="21" ht="25" customHeight="1">
      <x:c r="A21" s="185" t="str">
        <x:v>4</x:v>
      </x:c>
      <x:c r="B21" s="183" t="str">
        <x:v>Rotate, compress and archive logs by policy</x:v>
      </x:c>
      <x:c r="C21" s="183"/>
      <x:c r="D21" s="183"/>
      <x:c r="E21" s="183"/>
      <x:c r="F21" s="183"/>
      <x:c r="G21" s="183"/>
      <x:c r="H21" s="186" t="str">
        <x:v>Included</x:v>
      </x:c>
    </x:row>
    <x:row r="22" ht="25" customHeight="1">
      <x:c r="A22" s="185" t="str">
        <x:v>5</x:v>
      </x:c>
      <x:c r="B22" s="183" t="str">
        <x:v>Delete expired archives using tested retention rules</x:v>
      </x:c>
      <x:c r="C22" s="183"/>
      <x:c r="D22" s="183"/>
      <x:c r="E22" s="183"/>
      <x:c r="F22" s="183"/>
      <x:c r="G22" s="183"/>
      <x:c r="H22" s="186" t="str">
        <x:v>Included</x:v>
      </x:c>
    </x:row>
    <x:row r="23" ht="25" customHeight="1">
      <x:c r="A23" s="185" t="str">
        <x:v>6</x:v>
      </x:c>
      <x:c r="B23" s="183" t="str">
        <x:v>Build graphical monitoring dashboard and source-down alerts</x:v>
      </x:c>
      <x:c r="C23" s="183"/>
      <x:c r="D23" s="183"/>
      <x:c r="E23" s="183"/>
      <x:c r="F23" s="183"/>
      <x:c r="G23" s="183"/>
      <x:c r="H23" s="186" t="str">
        <x:v>Included</x:v>
      </x:c>
    </x:row>
    <x:row r="24" ht="25" customHeight="1">
      <x:c r="A24" s="185" t="str">
        <x:v>7</x:v>
      </x:c>
      <x:c r="B24" s="183" t="str">
        <x:v>Track source IP, port and last-received timestamp</x:v>
      </x:c>
      <x:c r="C24" s="183"/>
      <x:c r="D24" s="183"/>
      <x:c r="E24" s="183"/>
      <x:c r="F24" s="183"/>
      <x:c r="G24" s="183"/>
      <x:c r="H24" s="186" t="str">
        <x:v>Included</x:v>
      </x:c>
    </x:row>
    <x:row r="25" ht="25" customHeight="1">
      <x:c r="A25" s="185" t="str">
        <x:v>8</x:v>
      </x:c>
      <x:c r="B25" s="183" t="str">
        <x:v>Testing, documentation and knowledge-transfer session</x:v>
      </x:c>
      <x:c r="C25" s="183"/>
      <x:c r="D25" s="183"/>
      <x:c r="E25" s="183"/>
      <x:c r="F25" s="183"/>
      <x:c r="G25" s="183"/>
      <x:c r="H25" s="186" t="str">
        <x:v>Included</x:v>
      </x:c>
    </x:row>
    <x:row r="26">
      <x:c r="A26" s="181"/>
      <x:c r="B26" s="181"/>
      <x:c r="C26" s="181"/>
      <x:c r="D26" s="181"/>
      <x:c r="E26" s="181"/>
      <x:c r="F26" s="181"/>
      <x:c r="G26" s="181"/>
      <x:c r="H26" s="181"/>
    </x:row>
    <x:row r="27" ht="23" customHeight="1">
      <x:c r="A27" s="83" t="str">
        <x:v>RECOMMENDED BID NOTE</x:v>
      </x:c>
      <x:c r="B27" s="83" t="str">
        <x:v>RECOMMENDED BID NOTE</x:v>
      </x:c>
      <x:c r="C27" s="83" t="str">
        <x:v>RECOMMENDED BID NOTE</x:v>
      </x:c>
      <x:c r="D27" s="83" t="str">
        <x:v>RECOMMENDED BID NOTE</x:v>
      </x:c>
      <x:c r="E27" s="83" t="str">
        <x:v>RECOMMENDED BID NOTE</x:v>
      </x:c>
      <x:c r="F27" s="83" t="str">
        <x:v>RECOMMENDED BID NOTE</x:v>
      </x:c>
      <x:c r="G27" s="83" t="str">
        <x:v>RECOMMENDED BID NOTE</x:v>
      </x:c>
      <x:c r="H27" s="83" t="str">
        <x:v>RECOMMENDED BID NOTE</x:v>
      </x:c>
    </x:row>
    <x:row r="28">
      <x:c r="A28" s="187" t="str">
        <x:v>Submit the calculated fixed price only after confirming the RHEL version, number of sources, expected daily log volume, ports/protocols, retention period, dashboard platform and access requirements. The estimate assumes one RHEL server, up to 25 sources, up to five listening ports, a Grafana dashboard and no high-availability cluster.</x:v>
      </x:c>
      <x:c r="B28" s="188"/>
      <x:c r="C28" s="188"/>
      <x:c r="D28" s="188"/>
      <x:c r="E28" s="188"/>
      <x:c r="F28" s="188"/>
      <x:c r="G28" s="188"/>
      <x:c r="H28" s="189"/>
    </x:row>
    <x:row r="29">
      <x:c r="A29" s="190"/>
      <x:c r="B29" s="191"/>
      <x:c r="C29" s="191"/>
      <x:c r="D29" s="191"/>
      <x:c r="E29" s="191"/>
      <x:c r="F29" s="191"/>
      <x:c r="G29" s="191"/>
      <x:c r="H29" s="192"/>
    </x:row>
    <x:row r="30">
      <x:c r="A30" s="190"/>
      <x:c r="B30" s="191"/>
      <x:c r="C30" s="191"/>
      <x:c r="D30" s="191"/>
      <x:c r="E30" s="191"/>
      <x:c r="F30" s="191"/>
      <x:c r="G30" s="191"/>
      <x:c r="H30" s="192"/>
    </x:row>
    <x:row r="31">
      <x:c r="A31" s="193"/>
      <x:c r="B31" s="194"/>
      <x:c r="C31" s="194"/>
      <x:c r="D31" s="194"/>
      <x:c r="E31" s="194"/>
      <x:c r="F31" s="194"/>
      <x:c r="G31" s="194"/>
      <x:c r="H31" s="195"/>
    </x:row>
  </x:sheetData>
  <x:mergeCells>
    <x:mergeCell ref="A1:H2"/>
    <x:mergeCell ref="A3:H3"/>
    <x:mergeCell ref="A5:H5"/>
    <x:mergeCell ref="B6:H6"/>
    <x:mergeCell ref="B7:H7"/>
    <x:mergeCell ref="B8:H8"/>
    <x:mergeCell ref="B9:H9"/>
    <x:mergeCell ref="B10:H10"/>
    <x:mergeCell ref="A12:H12"/>
    <x:mergeCell ref="A13:B13"/>
    <x:mergeCell ref="C13:D13"/>
    <x:mergeCell ref="E13:F13"/>
    <x:mergeCell ref="G13:H13"/>
    <x:mergeCell ref="A14:B15"/>
    <x:mergeCell ref="C14:D15"/>
    <x:mergeCell ref="E14:F15"/>
    <x:mergeCell ref="G14:H15"/>
    <x:mergeCell ref="A17:H17"/>
    <x:mergeCell ref="B18:G18"/>
    <x:mergeCell ref="B19:G19"/>
    <x:mergeCell ref="B20:G20"/>
    <x:mergeCell ref="B21:G21"/>
    <x:mergeCell ref="B22:G22"/>
    <x:mergeCell ref="B23:G23"/>
    <x:mergeCell ref="B24:G24"/>
    <x:mergeCell ref="B25:G25"/>
    <x:mergeCell ref="A27:H27"/>
    <x:mergeCell ref="A28:H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45" hidden="0" customWidth="1"/>
    <x:col min="4" max="4" width="10" hidden="0" customWidth="1"/>
    <x:col min="5" max="5" width="28" hidden="0" customWidth="1"/>
    <x:col min="6" max="6" width="31" hidden="0" customWidth="1"/>
    <x:col min="7" max="7" width="14" hidden="0" customWidth="1"/>
    <x:col min="8" max="8" width="14" hidden="0" customWidth="1"/>
  </x:cols>
  <x:sheetData>
    <x:row r="1" ht="34" customHeight="1">
      <x:c r="A1" s="80" t="str">
        <x:v>WORK BREAKDOWN STRUCTURE</x:v>
      </x:c>
      <x:c r="B1" s="80" t="str">
        <x:v>WORK BREAKDOWN STRUCTURE</x:v>
      </x:c>
      <x:c r="C1" s="80" t="str">
        <x:v>WORK BREAKDOWN STRUCTURE</x:v>
      </x:c>
      <x:c r="D1" s="80" t="str">
        <x:v>WORK BREAKDOWN STRUCTURE</x:v>
      </x:c>
      <x:c r="E1" s="80" t="str">
        <x:v>WORK BREAKDOWN STRUCTURE</x:v>
      </x:c>
      <x:c r="F1" s="80" t="str">
        <x:v>WORK BREAKDOWN STRUCTURE</x:v>
      </x:c>
      <x:c r="G1" s="80" t="str">
        <x:v>WORK BREAKDOWN STRUCTURE</x:v>
      </x:c>
      <x:c r="H1" s="80" t="str">
        <x:v>WORK BREAKDOWN STRUCTURE</x:v>
      </x:c>
    </x:row>
    <x:row r="2" ht="34" customHeight="1">
      <x:c r="A2" s="80" t="str">
        <x:v>WORK BREAKDOWN STRUCTURE</x:v>
      </x:c>
      <x:c r="B2" s="80" t="str">
        <x:v>WORK BREAKDOWN STRUCTURE</x:v>
      </x:c>
      <x:c r="C2" s="80" t="str">
        <x:v>WORK BREAKDOWN STRUCTURE</x:v>
      </x:c>
      <x:c r="D2" s="80" t="str">
        <x:v>WORK BREAKDOWN STRUCTURE</x:v>
      </x:c>
      <x:c r="E2" s="80" t="str">
        <x:v>WORK BREAKDOWN STRUCTURE</x:v>
      </x:c>
      <x:c r="F2" s="80" t="str">
        <x:v>WORK BREAKDOWN STRUCTURE</x:v>
      </x:c>
      <x:c r="G2" s="80" t="str">
        <x:v>WORK BREAKDOWN STRUCTURE</x:v>
      </x:c>
      <x:c r="H2" s="80" t="str">
        <x:v>WORK BREAKDOWN STRUCTURE</x:v>
      </x:c>
    </x:row>
    <x:row r="3">
      <x:c r="A3" s="181"/>
      <x:c r="B3" s="181"/>
      <x:c r="C3" s="181"/>
      <x:c r="D3" s="181"/>
      <x:c r="E3" s="181"/>
      <x:c r="F3" s="181"/>
      <x:c r="G3" s="181"/>
      <x:c r="H3" s="181"/>
    </x:row>
    <x:row r="4">
      <x:c r="A4" s="131" t="str">
        <x:v>ID</x:v>
      </x:c>
      <x:c r="B4" s="132" t="str">
        <x:v>Phase / Deliverable</x:v>
      </x:c>
      <x:c r="C4" s="132" t="str">
        <x:v>Detailed Scope</x:v>
      </x:c>
      <x:c r="D4" s="132" t="str">
        <x:v>Hours</x:v>
      </x:c>
      <x:c r="E4" s="132" t="str">
        <x:v>Dependencies</x:v>
      </x:c>
      <x:c r="F4" s="132" t="str">
        <x:v>Output</x:v>
      </x:c>
      <x:c r="G4" s="132" t="str">
        <x:v>Status</x:v>
      </x:c>
      <x:c r="H4" s="133" t="str">
        <x:v>Owner</x:v>
      </x:c>
    </x:row>
    <x:row r="5" ht="47" customHeight="1">
      <x:c r="A5" s="183" t="str">
        <x:v>1</x:v>
      </x:c>
      <x:c r="B5" s="183" t="str">
        <x:v>Discovery and solution design</x:v>
      </x:c>
      <x:c r="C5" s="183" t="str">
        <x:v>Confirm RHEL version, sources, ports, protocols, log volume, retention, storage and dashboard requirements.</x:v>
      </x:c>
      <x:c r="D5" s="196" t="n">
        <x:v>8</x:v>
      </x:c>
      <x:c r="E5" s="183" t="str">
        <x:v>Client requirements and access</x:v>
      </x:c>
      <x:c r="F5" s="183" t="str">
        <x:v>Approved design and implementation plan</x:v>
      </x:c>
      <x:c r="G5" s="183" t="str">
        <x:v>Planned</x:v>
      </x:c>
      <x:c r="H5" s="183" t="str">
        <x:v>Consultant</x:v>
      </x:c>
    </x:row>
    <x:row r="6" ht="47" customHeight="1">
      <x:c r="A6" s="183" t="str">
        <x:v>2</x:v>
      </x:c>
      <x:c r="B6" s="183" t="str">
        <x:v>RHEL and syslog-ng installation</x:v>
      </x:c>
      <x:c r="C6" s="183" t="str">
        <x:v>Install packages; configure service startup, firewall, SELinux and baseline directories; validate syntax and service health.</x:v>
      </x:c>
      <x:c r="D6" s="196" t="n">
        <x:v>8</x:v>
      </x:c>
      <x:c r="E6" s="183" t="str">
        <x:v>RHEL admin access and repository</x:v>
      </x:c>
      <x:c r="F6" s="183" t="str">
        <x:v>Working syslog-ng service</x:v>
      </x:c>
      <x:c r="G6" s="183" t="str">
        <x:v>Planned</x:v>
      </x:c>
      <x:c r="H6" s="183" t="str">
        <x:v>Consultant</x:v>
      </x:c>
    </x:row>
    <x:row r="7" ht="47" customHeight="1">
      <x:c r="A7" s="183" t="str">
        <x:v>3</x:v>
      </x:c>
      <x:c r="B7" s="183" t="str">
        <x:v>Listeners and routing</x:v>
      </x:c>
      <x:c r="C7" s="183" t="str">
        <x:v>Configure approved TCP/UDP listeners and route messages based on listener, source IP and date.</x:v>
      </x:c>
      <x:c r="D7" s="196" t="n">
        <x:v>12</x:v>
      </x:c>
      <x:c r="E7" s="183" t="str">
        <x:v>Port and protocol list</x:v>
      </x:c>
      <x:c r="F7" s="183" t="str">
        <x:v>Listener and routing configuration</x:v>
      </x:c>
      <x:c r="G7" s="183" t="str">
        <x:v>Planned</x:v>
      </x:c>
      <x:c r="H7" s="183" t="str">
        <x:v>Consultant</x:v>
      </x:c>
    </x:row>
    <x:row r="8" ht="47" customHeight="1">
      <x:c r="A8" s="183" t="str">
        <x:v>4</x:v>
      </x:c>
      <x:c r="B8" s="183" t="str">
        <x:v>Local storage structure</x:v>
      </x:c>
      <x:c r="C8" s="183" t="str">
        <x:v>Create separate log paths by port and source; apply permissions, ownership and disk protection controls.</x:v>
      </x:c>
      <x:c r="D8" s="196" t="n">
        <x:v>8</x:v>
      </x:c>
      <x:c r="E8" s="183" t="str">
        <x:v>Storage mounted and sized</x:v>
      </x:c>
      <x:c r="F8" s="183" t="str">
        <x:v>Structured local log repository</x:v>
      </x:c>
      <x:c r="G8" s="183" t="str">
        <x:v>Planned</x:v>
      </x:c>
      <x:c r="H8" s="183" t="str">
        <x:v>Consultant</x:v>
      </x:c>
    </x:row>
    <x:row r="9" ht="47" customHeight="1">
      <x:c r="A9" s="183" t="str">
        <x:v>5</x:v>
      </x:c>
      <x:c r="B9" s="183" t="str">
        <x:v>Rotation, compression and cleanup</x:v>
      </x:c>
      <x:c r="C9" s="183" t="str">
        <x:v>Configure rotation, gzip compression, archive movement, retention and safe deletion testing.</x:v>
      </x:c>
      <x:c r="D9" s="196" t="n">
        <x:v>8</x:v>
      </x:c>
      <x:c r="E9" s="183" t="str">
        <x:v>Retention policy approved</x:v>
      </x:c>
      <x:c r="F9" s="183" t="str">
        <x:v>Automated archive lifecycle</x:v>
      </x:c>
      <x:c r="G9" s="183" t="str">
        <x:v>Planned</x:v>
      </x:c>
      <x:c r="H9" s="183" t="str">
        <x:v>Consultant</x:v>
      </x:c>
    </x:row>
    <x:row r="10" ht="47" customHeight="1">
      <x:c r="A10" s="183" t="str">
        <x:v>6</x:v>
      </x:c>
      <x:c r="B10" s="183" t="str">
        <x:v>Activity history database</x:v>
      </x:c>
      <x:c r="C10" s="183" t="str">
        <x:v>Maintain source IP, listener port, protocol, first/last received time and message counters.</x:v>
      </x:c>
      <x:c r="D10" s="196" t="n">
        <x:v>12</x:v>
      </x:c>
      <x:c r="E10" s="183" t="str">
        <x:v>Database option approved</x:v>
      </x:c>
      <x:c r="F10" s="183" t="str">
        <x:v>Searchable source-activity history</x:v>
      </x:c>
      <x:c r="G10" s="183" t="str">
        <x:v>Planned</x:v>
      </x:c>
      <x:c r="H10" s="183" t="str">
        <x:v>Consultant</x:v>
      </x:c>
    </x:row>
    <x:row r="11" ht="47" customHeight="1">
      <x:c r="A11" s="183" t="str">
        <x:v>7</x:v>
      </x:c>
      <x:c r="B11" s="183" t="str">
        <x:v>Graphical monitoring</x:v>
      </x:c>
      <x:c r="C11" s="183" t="str">
        <x:v>Build dashboard for message volume, source status, port traffic, disk use and last-received time; add inactivity alert rules.</x:v>
      </x:c>
      <x:c r="D11" s="196" t="n">
        <x:v>12</x:v>
      </x:c>
      <x:c r="E11" s="183" t="str">
        <x:v>Grafana/metrics access</x:v>
      </x:c>
      <x:c r="F11" s="183" t="str">
        <x:v>Operational dashboard and alerts</x:v>
      </x:c>
      <x:c r="G11" s="183" t="str">
        <x:v>Planned</x:v>
      </x:c>
      <x:c r="H11" s="183" t="str">
        <x:v>Consultant</x:v>
      </x:c>
    </x:row>
    <x:row r="12" ht="47" customHeight="1">
      <x:c r="A12" s="183" t="str">
        <x:v>8</x:v>
      </x:c>
      <x:c r="B12" s="183" t="str">
        <x:v>Testing and tuning</x:v>
      </x:c>
      <x:c r="C12" s="183" t="str">
        <x:v>Test every listener and source path; validate rotation/deletion; check performance and failure handling.</x:v>
      </x:c>
      <x:c r="D12" s="196" t="n">
        <x:v>6</x:v>
      </x:c>
      <x:c r="E12" s="183" t="str">
        <x:v>Representative test sources</x:v>
      </x:c>
      <x:c r="F12" s="183" t="str">
        <x:v>Test evidence and issue log</x:v>
      </x:c>
      <x:c r="G12" s="183" t="str">
        <x:v>Planned</x:v>
      </x:c>
      <x:c r="H12" s="183" t="str">
        <x:v>Consultant</x:v>
      </x:c>
    </x:row>
    <x:row r="13" ht="47" customHeight="1">
      <x:c r="A13" s="183" t="str">
        <x:v>9</x:v>
      </x:c>
      <x:c r="B13" s="183" t="str">
        <x:v>Documentation and handover</x:v>
      </x:c>
      <x:c r="C13" s="183" t="str">
        <x:v>Deliver architecture, configuration, runbook, rollback, troubleshooting and knowledge-transfer session.</x:v>
      </x:c>
      <x:c r="D13" s="196" t="n">
        <x:v>6</x:v>
      </x:c>
      <x:c r="E13" s="183" t="str">
        <x:v>Client technical contact</x:v>
      </x:c>
      <x:c r="F13" s="183" t="str">
        <x:v>Documentation and handover</x:v>
      </x:c>
      <x:c r="G13" s="183" t="str">
        <x:v>Planned</x:v>
      </x:c>
      <x:c r="H13" s="183" t="str">
        <x:v>Consultant</x:v>
      </x:c>
    </x:row>
    <x:row r="14">
      <x:c r="A14" s="197" t="str">
        <x:v>TOTAL ESTIMATED HOURS</x:v>
      </x:c>
      <x:c r="B14" s="198"/>
      <x:c r="C14" s="198"/>
      <x:c r="D14" s="198" t="n">
        <x:f>SUM(D5:D13)</x:f>
        <x:v>80</x:v>
      </x:c>
      <x:c r="E14" s="198"/>
      <x:c r="F14" s="198"/>
      <x:c r="G14" s="198"/>
      <x:c r="H14" s="199"/>
    </x:row>
  </x:sheetData>
  <x:mergeCells>
    <x:mergeCell ref="A1:H2"/>
    <x:mergeCell ref="A14:C14"/>
    <x:mergeCell ref="E14:H14"/>
  </x:mergeCells>
  <x:conditionalFormatting sqref="G5:G13">
    <x:cfRule type="containsText" dxfId="0" priority="1" operator="containsText" text="Completed"/>
    <x:cfRule type="containsText" dxfId="1" priority="2" operator="containsText" text="Blocked"/>
  </x:conditionalFormatting>
  <x:dataValidations count="1">
    <x:dataValidation type="list" sqref="G5:G13">
      <x:formula1>"Planned,In Progress,Blocked,Completed"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4" hidden="0" customWidth="1"/>
    <x:col min="4" max="4" width="23" hidden="0" customWidth="1"/>
    <x:col min="5" max="5" width="16" hidden="0" customWidth="1"/>
    <x:col min="6" max="6" width="45" hidden="0" customWidth="1"/>
  </x:cols>
  <x:sheetData>
    <x:row r="1" ht="34" customHeight="1">
      <x:c r="A1" s="80" t="str">
        <x:v>PRICING CALCULATOR</x:v>
      </x:c>
      <x:c r="B1" s="80" t="str">
        <x:v>PRICING CALCULATOR</x:v>
      </x:c>
      <x:c r="C1" s="80" t="str">
        <x:v>PRICING CALCULATOR</x:v>
      </x:c>
      <x:c r="D1" s="80" t="str">
        <x:v>PRICING CALCULATOR</x:v>
      </x:c>
      <x:c r="E1" s="80" t="str">
        <x:v>PRICING CALCULATOR</x:v>
      </x:c>
      <x:c r="F1" s="80" t="str">
        <x:v>PRICING CALCULATOR</x:v>
      </x:c>
    </x:row>
    <x:row r="2" ht="34" customHeight="1">
      <x:c r="A2" s="80" t="str">
        <x:v>PRICING CALCULATOR</x:v>
      </x:c>
      <x:c r="B2" s="80" t="str">
        <x:v>PRICING CALCULATOR</x:v>
      </x:c>
      <x:c r="C2" s="80" t="str">
        <x:v>PRICING CALCULATOR</x:v>
      </x:c>
      <x:c r="D2" s="80" t="str">
        <x:v>PRICING CALCULATOR</x:v>
      </x:c>
      <x:c r="E2" s="80" t="str">
        <x:v>PRICING CALCULATOR</x:v>
      </x:c>
      <x:c r="F2" s="80" t="str">
        <x:v>PRICING CALCULATOR</x:v>
      </x:c>
    </x:row>
    <x:row r="3">
      <x:c r="A3" s="181"/>
      <x:c r="B3" s="181"/>
      <x:c r="C3" s="181"/>
      <x:c r="D3" s="181"/>
      <x:c r="E3" s="181"/>
      <x:c r="F3" s="181"/>
    </x:row>
    <x:row r="4" ht="23" customHeight="1">
      <x:c r="A4" s="83" t="str">
        <x:v>EDITABLE BID INPUTS — YELLOW CELLS</x:v>
      </x:c>
      <x:c r="B4" s="83" t="str">
        <x:v>EDITABLE BID INPUTS — YELLOW CELLS</x:v>
      </x:c>
      <x:c r="C4" s="83" t="str">
        <x:v>EDITABLE BID INPUTS — YELLOW CELLS</x:v>
      </x:c>
      <x:c r="D4" s="83" t="str">
        <x:v>PACKAGE COMPARISON</x:v>
      </x:c>
      <x:c r="E4" s="83" t="str">
        <x:v>PACKAGE COMPARISON</x:v>
      </x:c>
      <x:c r="F4" s="83" t="str">
        <x:v>PACKAGE COMPARISON</x:v>
      </x:c>
    </x:row>
    <x:row r="5">
      <x:c r="A5" s="200" t="str">
        <x:v>Hourly rate</x:v>
      </x:c>
      <x:c r="B5" s="201" t="n">
        <x:v>40</x:v>
      </x:c>
      <x:c r="C5" s="181"/>
      <x:c r="D5" s="131" t="str">
        <x:v>Package</x:v>
      </x:c>
      <x:c r="E5" s="132" t="str">
        <x:v>Approx. hours</x:v>
      </x:c>
      <x:c r="F5" s="133" t="str">
        <x:v>Use case</x:v>
      </x:c>
    </x:row>
    <x:row r="6" ht="46" customHeight="1">
      <x:c r="A6" s="200" t="str">
        <x:v>Contingency</x:v>
      </x:c>
      <x:c r="B6" s="202" t="n">
        <x:v>0.1</x:v>
      </x:c>
      <x:c r="C6" s="181"/>
      <x:c r="D6" s="183" t="str">
        <x:v>Proof of Concept</x:v>
      </x:c>
      <x:c r="E6" s="183" t="n">
        <x:v>32</x:v>
      </x:c>
      <x:c r="F6" s="183" t="str">
        <x:v>Two sources, two ports, basic local storage and demonstration dashboard</x:v>
      </x:c>
    </x:row>
    <x:row r="7" ht="46" customHeight="1">
      <x:c r="A7" s="200" t="str">
        <x:v>Working hours per day</x:v>
      </x:c>
      <x:c r="B7" s="203" t="n">
        <x:v>8</x:v>
      </x:c>
      <x:c r="C7" s="181"/>
      <x:c r="D7" s="204" t="str">
        <x:v>Production Standard</x:v>
      </x:c>
      <x:c r="E7" s="204" t="n">
        <x:v>80</x:v>
      </x:c>
      <x:c r="F7" s="204" t="str">
        <x:v>All stated deliverables for one RHEL server; recommended bid basis</x:v>
      </x:c>
    </x:row>
    <x:row r="8" ht="46" customHeight="1">
      <x:c r="A8" s="200" t="str">
        <x:v>Currency</x:v>
      </x:c>
      <x:c r="B8" s="205" t="str">
        <x:v>USD</x:v>
      </x:c>
      <x:c r="C8" s="181"/>
      <x:c r="D8" s="183" t="str">
        <x:v>Production Plus</x:v>
      </x:c>
      <x:c r="E8" s="183" t="n">
        <x:v>120</x:v>
      </x:c>
      <x:c r="F8" s="183" t="str">
        <x:v>Adds TLS, extended alerting, backup integration and more rigorous hardening/tuning</x:v>
      </x:c>
    </x:row>
    <x:row r="9">
      <x:c r="A9" s="181"/>
      <x:c r="B9" s="181"/>
      <x:c r="C9" s="181"/>
      <x:c r="D9" s="181"/>
      <x:c r="E9" s="181"/>
      <x:c r="F9" s="181"/>
    </x:row>
    <x:row r="10" ht="23" customHeight="1">
      <x:c r="A10" s="83" t="str">
        <x:v>CALCULATION</x:v>
      </x:c>
      <x:c r="B10" s="83" t="str">
        <x:v>CALCULATION</x:v>
      </x:c>
      <x:c r="C10" s="83" t="str">
        <x:v>CALCULATION</x:v>
      </x:c>
      <x:c r="D10" s="83" t="str">
        <x:v>CALCULATION</x:v>
      </x:c>
      <x:c r="E10" s="83" t="str">
        <x:v>CALCULATION</x:v>
      </x:c>
      <x:c r="F10" s="83" t="str">
        <x:v>CALCULATION</x:v>
      </x:c>
    </x:row>
    <x:row r="11">
      <x:c r="A11" s="131" t="str">
        <x:v>Item</x:v>
      </x:c>
      <x:c r="B11" s="133" t="str">
        <x:v>Value</x:v>
      </x:c>
      <x:c r="C11" s="181"/>
      <x:c r="D11" s="181"/>
      <x:c r="E11" s="181"/>
      <x:c r="F11" s="181"/>
    </x:row>
    <x:row r="12">
      <x:c r="A12" s="181" t="str">
        <x:v>Base labor</x:v>
      </x:c>
      <x:c r="B12" s="206" t="n">
        <x:f>'Work Breakdown'!D14*B5</x:f>
        <x:v>3200</x:v>
      </x:c>
      <x:c r="C12" s="181"/>
      <x:c r="D12" s="181"/>
      <x:c r="E12" s="181"/>
      <x:c r="F12" s="181"/>
    </x:row>
    <x:row r="13">
      <x:c r="A13" s="181" t="str">
        <x:v>Contingency amount</x:v>
      </x:c>
      <x:c r="B13" s="206" t="n">
        <x:f>B12*B6</x:f>
        <x:v>320</x:v>
      </x:c>
      <x:c r="C13" s="181"/>
      <x:c r="D13" s="181"/>
      <x:c r="E13" s="181"/>
      <x:c r="F13" s="181"/>
    </x:row>
    <x:row r="14">
      <x:c r="A14" s="207" t="str">
        <x:v>Proposed fixed-price bid</x:v>
      </x:c>
      <x:c r="B14" s="208" t="n">
        <x:f>B12+B13</x:f>
        <x:v>3520</x:v>
      </x:c>
      <x:c r="C14" s="181"/>
      <x:c r="D14" s="181"/>
      <x:c r="E14" s="181"/>
      <x:c r="F14" s="181"/>
    </x:row>
    <x:row r="15">
      <x:c r="A15" s="181" t="str"/>
      <x:c r="B15" s="181"/>
      <x:c r="C15" s="181"/>
      <x:c r="D15" s="181"/>
      <x:c r="E15" s="181"/>
      <x:c r="F15" s="181"/>
    </x:row>
    <x:row r="16">
      <x:c r="A16" s="181" t="str">
        <x:v>Total estimated hours</x:v>
      </x:c>
      <x:c r="B16" s="209" t="n">
        <x:f>'Work Breakdown'!D14</x:f>
        <x:v>80</x:v>
      </x:c>
      <x:c r="C16" s="181"/>
      <x:c r="D16" s="181"/>
      <x:c r="E16" s="181"/>
      <x:c r="F16" s="181"/>
    </x:row>
    <x:row r="17">
      <x:c r="A17" s="181" t="str">
        <x:v>Estimated working days</x:v>
      </x:c>
      <x:c r="B17" s="209" t="n">
        <x:f>ROUNDUP(B16/B7,0)</x:f>
        <x:v>10</x:v>
      </x:c>
      <x:c r="C17" s="181"/>
      <x:c r="D17" s="181"/>
      <x:c r="E17" s="181"/>
      <x:c r="F17" s="181"/>
    </x:row>
    <x:row r="18">
      <x:c r="A18" s="181" t="str">
        <x:v>Effective rate after contingency</x:v>
      </x:c>
      <x:c r="B18" s="206" t="n">
        <x:f>B14/B16</x:f>
        <x:v>44</x:v>
      </x:c>
      <x:c r="C18" s="181"/>
      <x:c r="D18" s="181"/>
      <x:c r="E18" s="181"/>
      <x:c r="F18" s="181"/>
    </x:row>
    <x:row r="19">
      <x:c r="A19" s="210" t="str">
        <x:v>Recommended Upwork bid</x:v>
      </x:c>
      <x:c r="B19" s="211" t="n">
        <x:f>ROUNDUP(B14/50,0)*50</x:f>
        <x:v>3550</x:v>
      </x:c>
      <x:c r="C19" s="181"/>
      <x:c r="D19" s="181"/>
      <x:c r="E19" s="181"/>
      <x:c r="F19" s="181"/>
    </x:row>
  </x:sheetData>
  <x:mergeCells>
    <x:mergeCell ref="A1:F2"/>
    <x:mergeCell ref="A4:F4"/>
    <x:mergeCell ref="A10:F10"/>
    <x:mergeCell ref="D4:F4"/>
  </x:mergeCells>
  <x:pageMargins left="0.7" right="0.7" top="0.75" bottom="0.75" header="0.3" footer="0.3"/>
  <x:legacyDrawing xmlns:r="http://schemas.openxmlformats.org/officeDocument/2006/relationships" r:id="R12ad04f2c5f74a7e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2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  <x:col min="7" max="7" width="16" hidden="0" customWidth="1"/>
    <x:col min="8" max="8" width="31" hidden="0" customWidth="1"/>
  </x:cols>
  <x:sheetData>
    <x:row r="1" ht="34" customHeight="1">
      <x:c r="A1" s="80" t="str">
        <x:v>PROPOSED UPWORK MILESTONES</x:v>
      </x:c>
      <x:c r="B1" s="80" t="str">
        <x:v>PROPOSED UPWORK MILESTONES</x:v>
      </x:c>
      <x:c r="C1" s="80" t="str">
        <x:v>PROPOSED UPWORK MILESTONES</x:v>
      </x:c>
      <x:c r="D1" s="80" t="str">
        <x:v>PROPOSED UPWORK MILESTONES</x:v>
      </x:c>
      <x:c r="E1" s="80" t="str">
        <x:v>PROPOSED UPWORK MILESTONES</x:v>
      </x:c>
      <x:c r="F1" s="80" t="str">
        <x:v>PROPOSED UPWORK MILESTONES</x:v>
      </x:c>
      <x:c r="G1" s="80" t="str">
        <x:v>PROPOSED UPWORK MILESTONES</x:v>
      </x:c>
      <x:c r="H1" s="80" t="str">
        <x:v>PROPOSED UPWORK MILESTONES</x:v>
      </x:c>
    </x:row>
    <x:row r="2" ht="34" customHeight="1">
      <x:c r="A2" s="80" t="str">
        <x:v>PROPOSED UPWORK MILESTONES</x:v>
      </x:c>
      <x:c r="B2" s="80" t="str">
        <x:v>PROPOSED UPWORK MILESTONES</x:v>
      </x:c>
      <x:c r="C2" s="80" t="str">
        <x:v>PROPOSED UPWORK MILESTONES</x:v>
      </x:c>
      <x:c r="D2" s="80" t="str">
        <x:v>PROPOSED UPWORK MILESTONES</x:v>
      </x:c>
      <x:c r="E2" s="80" t="str">
        <x:v>PROPOSED UPWORK MILESTONES</x:v>
      </x:c>
      <x:c r="F2" s="80" t="str">
        <x:v>PROPOSED UPWORK MILESTONES</x:v>
      </x:c>
      <x:c r="G2" s="80" t="str">
        <x:v>PROPOSED UPWORK MILESTONES</x:v>
      </x:c>
      <x:c r="H2" s="80" t="str">
        <x:v>PROPOSED UPWORK MILESTONES</x:v>
      </x:c>
    </x:row>
    <x:row r="3">
      <x:c r="A3" s="181"/>
      <x:c r="B3" s="181"/>
      <x:c r="C3" s="181"/>
      <x:c r="D3" s="181"/>
      <x:c r="E3" s="181"/>
      <x:c r="F3" s="181"/>
      <x:c r="G3" s="181"/>
      <x:c r="H3" s="181"/>
    </x:row>
    <x:row r="4">
      <x:c r="A4" s="131" t="str">
        <x:v>Milestone</x:v>
      </x:c>
      <x:c r="B4" s="132" t="str">
        <x:v>Description</x:v>
      </x:c>
      <x:c r="C4" s="132" t="str">
        <x:v>Hours</x:v>
      </x:c>
      <x:c r="D4" s="132" t="str">
        <x:v>% of Hours</x:v>
      </x:c>
      <x:c r="E4" s="132" t="str">
        <x:v>Amount</x:v>
      </x:c>
      <x:c r="F4" s="132" t="str">
        <x:v>Target Day</x:v>
      </x:c>
      <x:c r="G4" s="132" t="str">
        <x:v>Client Approval</x:v>
      </x:c>
      <x:c r="H4" s="133" t="str">
        <x:v>Evidence</x:v>
      </x:c>
    </x:row>
    <x:row r="5" ht="44" customHeight="1">
      <x:c r="A5" s="183" t="str">
        <x:v>M1</x:v>
      </x:c>
      <x:c r="B5" s="183" t="str">
        <x:v>Discovery, design and approved implementation plan</x:v>
      </x:c>
      <x:c r="C5" s="212" t="n">
        <x:v>8</x:v>
      </x:c>
      <x:c r="D5" s="213" t="n">
        <x:f>C5/SUM($C$5:$C$9)</x:f>
        <x:v>0.1</x:v>
      </x:c>
      <x:c r="E5" s="214" t="n">
        <x:f>D5*'Pricing Calculator'!$B$19</x:f>
        <x:v>355</x:v>
      </x:c>
      <x:c r="F5" s="183" t="n">
        <x:v>2</x:v>
      </x:c>
      <x:c r="G5" s="183" t="str">
        <x:v>Required</x:v>
      </x:c>
      <x:c r="H5" s="183" t="str">
        <x:v>Design and configuration plan</x:v>
      </x:c>
    </x:row>
    <x:row r="6" ht="44" customHeight="1">
      <x:c r="A6" s="183" t="str">
        <x:v>M2</x:v>
      </x:c>
      <x:c r="B6" s="183" t="str">
        <x:v>Syslog-ng installation, listeners, routing and structured storage</x:v>
      </x:c>
      <x:c r="C6" s="212" t="n">
        <x:v>28</x:v>
      </x:c>
      <x:c r="D6" s="213" t="n">
        <x:f>C6/SUM($C$5:$C$9)</x:f>
        <x:v>0.35</x:v>
      </x:c>
      <x:c r="E6" s="214" t="n">
        <x:f>D6*'Pricing Calculator'!$B$19</x:f>
        <x:v>1242.5</x:v>
      </x:c>
      <x:c r="F6" s="183" t="n">
        <x:v>6</x:v>
      </x:c>
      <x:c r="G6" s="183" t="str">
        <x:v>Required</x:v>
      </x:c>
      <x:c r="H6" s="183" t="str">
        <x:v>Service validation and test logs</x:v>
      </x:c>
    </x:row>
    <x:row r="7" ht="44" customHeight="1">
      <x:c r="A7" s="183" t="str">
        <x:v>M3</x:v>
      </x:c>
      <x:c r="B7" s="183" t="str">
        <x:v>Rotation, compression, retention and activity-history database</x:v>
      </x:c>
      <x:c r="C7" s="212" t="n">
        <x:v>20</x:v>
      </x:c>
      <x:c r="D7" s="213" t="n">
        <x:f>C7/SUM($C$5:$C$9)</x:f>
        <x:v>0.25</x:v>
      </x:c>
      <x:c r="E7" s="214" t="n">
        <x:f>D7*'Pricing Calculator'!$B$19</x:f>
        <x:v>887.5</x:v>
      </x:c>
      <x:c r="F7" s="183" t="n">
        <x:v>9</x:v>
      </x:c>
      <x:c r="G7" s="183" t="str">
        <x:v>Required</x:v>
      </x:c>
      <x:c r="H7" s="183" t="str">
        <x:v>Archive test and history records</x:v>
      </x:c>
    </x:row>
    <x:row r="8" ht="44" customHeight="1">
      <x:c r="A8" s="183" t="str">
        <x:v>M4</x:v>
      </x:c>
      <x:c r="B8" s="183" t="str">
        <x:v>Dashboard, alerts, testing and performance validation</x:v>
      </x:c>
      <x:c r="C8" s="212" t="n">
        <x:v>18</x:v>
      </x:c>
      <x:c r="D8" s="213" t="n">
        <x:f>C8/SUM($C$5:$C$9)</x:f>
        <x:v>0.225</x:v>
      </x:c>
      <x:c r="E8" s="214" t="n">
        <x:f>D8*'Pricing Calculator'!$B$19</x:f>
        <x:v>798.75</x:v>
      </x:c>
      <x:c r="F8" s="183" t="n">
        <x:v>11</x:v>
      </x:c>
      <x:c r="G8" s="183" t="str">
        <x:v>Required</x:v>
      </x:c>
      <x:c r="H8" s="183" t="str">
        <x:v>Dashboard and test report</x:v>
      </x:c>
    </x:row>
    <x:row r="9" ht="44" customHeight="1">
      <x:c r="A9" s="183" t="str">
        <x:v>M5</x:v>
      </x:c>
      <x:c r="B9" s="183" t="str">
        <x:v>Documentation, handover and final acceptance</x:v>
      </x:c>
      <x:c r="C9" s="212" t="n">
        <x:v>6</x:v>
      </x:c>
      <x:c r="D9" s="213" t="n">
        <x:f>C9/SUM($C$5:$C$9)</x:f>
        <x:v>0.075</x:v>
      </x:c>
      <x:c r="E9" s="214" t="n">
        <x:f>D9*'Pricing Calculator'!$B$19</x:f>
        <x:v>266.25</x:v>
      </x:c>
      <x:c r="F9" s="183" t="n">
        <x:v>12</x:v>
      </x:c>
      <x:c r="G9" s="183" t="str">
        <x:v>Required</x:v>
      </x:c>
      <x:c r="H9" s="183" t="str">
        <x:v>Runbook and knowledge transfer</x:v>
      </x:c>
    </x:row>
    <x:row r="10">
      <x:c r="A10" s="215" t="str">
        <x:v>TOTAL</x:v>
      </x:c>
      <x:c r="B10" s="215"/>
      <x:c r="C10" s="216" t="n">
        <x:f>SUM(C5:C9)</x:f>
        <x:v>80</x:v>
      </x:c>
      <x:c r="D10" s="217" t="n">
        <x:f>SUM(D5:D9)</x:f>
        <x:v>0.9999999999999999</x:v>
      </x:c>
      <x:c r="E10" s="218" t="n">
        <x:f>SUM(E5:E9)</x:f>
        <x:v>3550</x:v>
      </x:c>
      <x:c r="F10" s="215"/>
      <x:c r="G10" s="215"/>
      <x:c r="H10" s="215"/>
    </x:row>
  </x:sheetData>
  <x:mergeCells>
    <x:mergeCell ref="A1:H2"/>
    <x:mergeCell ref="A10:B10"/>
    <x:mergeCell ref="F10:H1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5" hidden="0" customWidth="1"/>
    <x:col min="3" max="3" width="35" hidden="0" customWidth="1"/>
    <x:col min="4" max="4" width="28" hidden="0" customWidth="1"/>
    <x:col min="5" max="5" width="16" hidden="0" customWidth="1"/>
    <x:col min="6" max="6" width="16" hidden="0" customWidth="1"/>
  </x:cols>
  <x:sheetData>
    <x:row r="1" ht="34" customHeight="1">
      <x:c r="A1" s="80" t="str">
        <x:v>ASSUMPTIONS AND CLIENT QUESTIONS</x:v>
      </x:c>
      <x:c r="B1" s="80" t="str">
        <x:v>ASSUMPTIONS AND CLIENT QUESTIONS</x:v>
      </x:c>
      <x:c r="C1" s="80" t="str">
        <x:v>ASSUMPTIONS AND CLIENT QUESTIONS</x:v>
      </x:c>
      <x:c r="D1" s="80" t="str">
        <x:v>ASSUMPTIONS AND CLIENT QUESTIONS</x:v>
      </x:c>
      <x:c r="E1" s="80" t="str">
        <x:v>ASSUMPTIONS AND CLIENT QUESTIONS</x:v>
      </x:c>
      <x:c r="F1" s="80" t="str">
        <x:v>ASSUMPTIONS AND CLIENT QUESTIONS</x:v>
      </x:c>
    </x:row>
    <x:row r="2" ht="34" customHeight="1">
      <x:c r="A2" s="80" t="str">
        <x:v>ASSUMPTIONS AND CLIENT QUESTIONS</x:v>
      </x:c>
      <x:c r="B2" s="80" t="str">
        <x:v>ASSUMPTIONS AND CLIENT QUESTIONS</x:v>
      </x:c>
      <x:c r="C2" s="80" t="str">
        <x:v>ASSUMPTIONS AND CLIENT QUESTIONS</x:v>
      </x:c>
      <x:c r="D2" s="80" t="str">
        <x:v>ASSUMPTIONS AND CLIENT QUESTIONS</x:v>
      </x:c>
      <x:c r="E2" s="80" t="str">
        <x:v>ASSUMPTIONS AND CLIENT QUESTIONS</x:v>
      </x:c>
      <x:c r="F2" s="80" t="str">
        <x:v>ASSUMPTIONS AND CLIENT QUESTIONS</x:v>
      </x:c>
    </x:row>
    <x:row r="3">
      <x:c r="A3" s="181"/>
      <x:c r="B3" s="181"/>
      <x:c r="C3" s="181"/>
      <x:c r="D3" s="181"/>
      <x:c r="E3" s="181"/>
      <x:c r="F3" s="181"/>
    </x:row>
    <x:row r="4" ht="23" customHeight="1">
      <x:c r="A4" s="83" t="str">
        <x:v>ESTIMATE ASSUMPTIONS</x:v>
      </x:c>
      <x:c r="B4" s="83" t="str">
        <x:v>ESTIMATE ASSUMPTIONS</x:v>
      </x:c>
      <x:c r="C4" s="83" t="str">
        <x:v>ESTIMATE ASSUMPTIONS</x:v>
      </x:c>
      <x:c r="D4" s="83" t="str">
        <x:v>ESTIMATE ASSUMPTIONS</x:v>
      </x:c>
      <x:c r="E4" s="83" t="str">
        <x:v>ESTIMATE ASSUMPTIONS</x:v>
      </x:c>
      <x:c r="F4" s="83" t="str">
        <x:v>ESTIMATE ASSUMPTIONS</x:v>
      </x:c>
    </x:row>
    <x:row r="5">
      <x:c r="A5" s="131" t="str">
        <x:v>ID</x:v>
      </x:c>
      <x:c r="B5" s="132" t="str">
        <x:v>Assumption</x:v>
      </x:c>
      <x:c r="C5" s="133" t="str">
        <x:v>Impact if different</x:v>
      </x:c>
      <x:c r="D5" s="183"/>
      <x:c r="E5" s="183"/>
      <x:c r="F5" s="183"/>
    </x:row>
    <x:row r="6" ht="42" customHeight="1">
      <x:c r="A6" s="183" t="str">
        <x:v>A1</x:v>
      </x:c>
      <x:c r="B6" s="183" t="str">
        <x:v>One supported RHEL server is available.</x:v>
      </x:c>
      <x:c r="C6" s="183" t="str">
        <x:v>Additional servers or HA require revised effort.</x:v>
      </x:c>
      <x:c r="D6" s="183"/>
      <x:c r="E6" s="183"/>
      <x:c r="F6" s="183"/>
    </x:row>
    <x:row r="7" ht="42" customHeight="1">
      <x:c r="A7" s="183" t="str">
        <x:v>A2</x:v>
      </x:c>
      <x:c r="B7" s="183" t="str">
        <x:v>Up to 25 log sources and five listening ports.</x:v>
      </x:c>
      <x:c r="C7" s="183" t="str">
        <x:v>More sources/ports increase testing and dashboard work.</x:v>
      </x:c>
      <x:c r="D7" s="183"/>
      <x:c r="E7" s="183"/>
      <x:c r="F7" s="183"/>
    </x:row>
    <x:row r="8" ht="42" customHeight="1">
      <x:c r="A8" s="183" t="str">
        <x:v>A3</x:v>
      </x:c>
      <x:c r="B8" s="183" t="str">
        <x:v>Client provides administrative access and approved repositories.</x:v>
      </x:c>
      <x:c r="C8" s="183" t="str">
        <x:v>Access delays move the schedule.</x:v>
      </x:c>
      <x:c r="D8" s="183"/>
      <x:c r="E8" s="183"/>
      <x:c r="F8" s="183"/>
    </x:row>
    <x:row r="9" ht="42" customHeight="1">
      <x:c r="A9" s="183" t="str">
        <x:v>A4</x:v>
      </x:c>
      <x:c r="B9" s="183" t="str">
        <x:v>Storage is provisioned and sized before implementation.</x:v>
      </x:c>
      <x:c r="C9" s="183" t="str">
        <x:v>Storage design/procurement is outside this estimate.</x:v>
      </x:c>
      <x:c r="D9" s="183"/>
      <x:c r="E9" s="183"/>
      <x:c r="F9" s="183"/>
    </x:row>
    <x:row r="10" ht="42" customHeight="1">
      <x:c r="A10" s="183" t="str">
        <x:v>A5</x:v>
      </x:c>
      <x:c r="B10" s="183" t="str">
        <x:v>Grafana may be installed or is available for dashboarding.</x:v>
      </x:c>
      <x:c r="C10" s="183" t="str">
        <x:v>A different enterprise tool may require revised integration.</x:v>
      </x:c>
      <x:c r="D10" s="183"/>
      <x:c r="E10" s="183"/>
      <x:c r="F10" s="183"/>
    </x:row>
    <x:row r="11" ht="42" customHeight="1">
      <x:c r="A11" s="183" t="str">
        <x:v>A6</x:v>
      </x:c>
      <x:c r="B11" s="183" t="str">
        <x:v>PostgreSQL or an approved equivalent may store activity history.</x:v>
      </x:c>
      <x:c r="C11" s="183" t="str">
        <x:v>Client database standards may add configuration effort.</x:v>
      </x:c>
      <x:c r="D11" s="183"/>
      <x:c r="E11" s="183"/>
      <x:c r="F11" s="183"/>
    </x:row>
    <x:row r="12" ht="42" customHeight="1">
      <x:c r="A12" s="183" t="str">
        <x:v>A7</x:v>
      </x:c>
      <x:c r="B12" s="183" t="str">
        <x:v>Retention and deletion policy is approved in writing.</x:v>
      </x:c>
      <x:c r="C12" s="183" t="str">
        <x:v>Deletion will remain disabled until approval.</x:v>
      </x:c>
      <x:c r="D12" s="183"/>
      <x:c r="E12" s="183"/>
      <x:c r="F12" s="183"/>
    </x:row>
    <x:row r="13" ht="42" customHeight="1">
      <x:c r="A13" s="183" t="str">
        <x:v>A8</x:v>
      </x:c>
      <x:c r="B13" s="183" t="str">
        <x:v>No custom application log parsing is included.</x:v>
      </x:c>
      <x:c r="C13" s="183" t="str">
        <x:v>Custom parsers require separate analysis.</x:v>
      </x:c>
      <x:c r="D13" s="183"/>
      <x:c r="E13" s="183"/>
      <x:c r="F13" s="183"/>
    </x:row>
    <x:row r="14" ht="42" customHeight="1">
      <x:c r="A14" s="183" t="str">
        <x:v>A9</x:v>
      </x:c>
      <x:c r="B14" s="183" t="str">
        <x:v>One remote knowledge-transfer session is included.</x:v>
      </x:c>
      <x:c r="C14" s="183" t="str">
        <x:v>Extra sessions can be added as milestones.</x:v>
      </x:c>
      <x:c r="D14" s="183"/>
      <x:c r="E14" s="183"/>
      <x:c r="F14" s="183"/>
    </x:row>
    <x:row r="15">
      <x:c r="A15" s="183"/>
      <x:c r="B15" s="183"/>
      <x:c r="C15" s="183"/>
      <x:c r="D15" s="183"/>
      <x:c r="E15" s="183"/>
      <x:c r="F15" s="183"/>
    </x:row>
    <x:row r="16" ht="23" customHeight="1">
      <x:c r="A16" s="178" t="str">
        <x:v>QUESTIONS TO SEND BEFORE FINAL BID</x:v>
      </x:c>
      <x:c r="B16" s="178" t="str">
        <x:v>QUESTIONS TO SEND BEFORE FINAL BID</x:v>
      </x:c>
      <x:c r="C16" s="178" t="str">
        <x:v>QUESTIONS TO SEND BEFORE FINAL BID</x:v>
      </x:c>
      <x:c r="D16" s="178" t="str">
        <x:v>QUESTIONS TO SEND BEFORE FINAL BID</x:v>
      </x:c>
      <x:c r="E16" s="178" t="str">
        <x:v>QUESTIONS TO SEND BEFORE FINAL BID</x:v>
      </x:c>
      <x:c r="F16" s="178" t="str">
        <x:v>QUESTIONS TO SEND BEFORE FINAL BID</x:v>
      </x:c>
    </x:row>
    <x:row r="17">
      <x:c r="A17" s="131" t="str">
        <x:v>#</x:v>
      </x:c>
      <x:c r="B17" s="132" t="str">
        <x:v>Client Question</x:v>
      </x:c>
      <x:c r="C17" s="132" t="str">
        <x:v>Why Needed</x:v>
      </x:c>
      <x:c r="D17" s="132" t="str">
        <x:v>Client Answer</x:v>
      </x:c>
      <x:c r="E17" s="132" t="str">
        <x:v>Confirmed?</x:v>
      </x:c>
      <x:c r="F17" s="133" t="str">
        <x:v>Owner</x:v>
      </x:c>
    </x:row>
    <x:row r="18" ht="44" customHeight="1">
      <x:c r="A18" s="183" t="n">
        <x:v>1</x:v>
      </x:c>
      <x:c r="B18" s="183" t="str">
        <x:v>Which exact RHEL version is installed?</x:v>
      </x:c>
      <x:c r="C18" s="183" t="str">
        <x:v>Package and support compatibility</x:v>
      </x:c>
      <x:c r="D18" s="219" t="str"/>
      <x:c r="E18" s="183" t="str">
        <x:v>No</x:v>
      </x:c>
      <x:c r="F18" s="183" t="str">
        <x:v>Client</x:v>
      </x:c>
    </x:row>
    <x:row r="19" ht="44" customHeight="1">
      <x:c r="A19" s="183" t="n">
        <x:v>2</x:v>
      </x:c>
      <x:c r="B19" s="183" t="str">
        <x:v>How many sources will send logs?</x:v>
      </x:c>
      <x:c r="C19" s="183" t="str">
        <x:v>Capacity and test effort</x:v>
      </x:c>
      <x:c r="D19" s="219" t="str"/>
      <x:c r="E19" s="183" t="str">
        <x:v>No</x:v>
      </x:c>
      <x:c r="F19" s="183" t="str">
        <x:v>Client</x:v>
      </x:c>
    </x:row>
    <x:row r="20" ht="44" customHeight="1">
      <x:c r="A20" s="183" t="n">
        <x:v>3</x:v>
      </x:c>
      <x:c r="B20" s="183" t="str">
        <x:v>What is the expected daily volume or events per second?</x:v>
      </x:c>
      <x:c r="C20" s="183" t="str">
        <x:v>CPU, disk and queue sizing</x:v>
      </x:c>
      <x:c r="D20" s="219" t="str"/>
      <x:c r="E20" s="183" t="str">
        <x:v>No</x:v>
      </x:c>
      <x:c r="F20" s="183" t="str">
        <x:v>Client</x:v>
      </x:c>
    </x:row>
    <x:row r="21" ht="44" customHeight="1">
      <x:c r="A21" s="183" t="n">
        <x:v>4</x:v>
      </x:c>
      <x:c r="B21" s="183" t="str">
        <x:v>Which ports and TCP/UDP protocols are required?</x:v>
      </x:c>
      <x:c r="C21" s="183" t="str">
        <x:v>Listener and firewall configuration</x:v>
      </x:c>
      <x:c r="D21" s="219" t="str"/>
      <x:c r="E21" s="183" t="str">
        <x:v>No</x:v>
      </x:c>
      <x:c r="F21" s="183" t="str">
        <x:v>Client</x:v>
      </x:c>
    </x:row>
    <x:row r="22" ht="44" customHeight="1">
      <x:c r="A22" s="183" t="n">
        <x:v>5</x:v>
      </x:c>
      <x:c r="B22" s="183" t="str">
        <x:v>What are the active, archive and deletion retention periods?</x:v>
      </x:c>
      <x:c r="C22" s="183" t="str">
        <x:v>Storage and lifecycle design</x:v>
      </x:c>
      <x:c r="D22" s="219" t="str"/>
      <x:c r="E22" s="183" t="str">
        <x:v>No</x:v>
      </x:c>
      <x:c r="F22" s="183" t="str">
        <x:v>Client</x:v>
      </x:c>
    </x:row>
    <x:row r="23" ht="44" customHeight="1">
      <x:c r="A23" s="183" t="n">
        <x:v>6</x:v>
      </x:c>
      <x:c r="B23" s="183" t="str">
        <x:v>Is TCP/TLS required for encrypted log transport?</x:v>
      </x:c>
      <x:c r="C23" s="183" t="str">
        <x:v>Security scope</x:v>
      </x:c>
      <x:c r="D23" s="219" t="str"/>
      <x:c r="E23" s="183" t="str">
        <x:v>No</x:v>
      </x:c>
      <x:c r="F23" s="183" t="str">
        <x:v>Client</x:v>
      </x:c>
    </x:row>
    <x:row r="24" ht="44" customHeight="1">
      <x:c r="A24" s="183" t="n">
        <x:v>7</x:v>
      </x:c>
      <x:c r="B24" s="183" t="str">
        <x:v>Which graphical monitoring platform should be used?</x:v>
      </x:c>
      <x:c r="C24" s="183" t="str">
        <x:v>Integration and licensing</x:v>
      </x:c>
      <x:c r="D24" s="219" t="str"/>
      <x:c r="E24" s="183" t="str">
        <x:v>No</x:v>
      </x:c>
      <x:c r="F24" s="183" t="str">
        <x:v>Client</x:v>
      </x:c>
    </x:row>
    <x:row r="25" ht="44" customHeight="1">
      <x:c r="A25" s="183" t="n">
        <x:v>8</x:v>
      </x:c>
      <x:c r="B25" s="183" t="str">
        <x:v>When should a silent source be marked offline?</x:v>
      </x:c>
      <x:c r="C25" s="183" t="str">
        <x:v>Alert thresholds</x:v>
      </x:c>
      <x:c r="D25" s="219" t="str"/>
      <x:c r="E25" s="183" t="str">
        <x:v>No</x:v>
      </x:c>
      <x:c r="F25" s="183" t="str">
        <x:v>Client</x:v>
      </x:c>
    </x:row>
    <x:row r="26" ht="44" customHeight="1">
      <x:c r="A26" s="183" t="n">
        <x:v>9</x:v>
      </x:c>
      <x:c r="B26" s="183" t="str">
        <x:v>Is high availability or disaster recovery required?</x:v>
      </x:c>
      <x:c r="C26" s="183" t="str">
        <x:v>Architecture and cost</x:v>
      </x:c>
      <x:c r="D26" s="219" t="str"/>
      <x:c r="E26" s="183" t="str">
        <x:v>No</x:v>
      </x:c>
      <x:c r="F26" s="183" t="str">
        <x:v>Client</x:v>
      </x:c>
    </x:row>
    <x:row r="27" ht="44" customHeight="1">
      <x:c r="A27" s="183" t="n">
        <x:v>10</x:v>
      </x:c>
      <x:c r="B27" s="183" t="str">
        <x:v>What documentation and handover format is expected?</x:v>
      </x:c>
      <x:c r="C27" s="183" t="str">
        <x:v>Final acceptance scope</x:v>
      </x:c>
      <x:c r="D27" s="219" t="str"/>
      <x:c r="E27" s="183" t="str">
        <x:v>No</x:v>
      </x:c>
      <x:c r="F27" s="183" t="str">
        <x:v>Client</x:v>
      </x:c>
    </x:row>
  </x:sheetData>
  <x:mergeCells>
    <x:mergeCell ref="A1:F2"/>
    <x:mergeCell ref="A4:F4"/>
    <x:mergeCell ref="A16:F16"/>
  </x:mergeCells>
  <x:conditionalFormatting sqref="E18:E27">
    <x:cfRule type="containsText" dxfId="2" priority="1" operator="containsText" text="Yes"/>
  </x:conditionalFormatting>
  <x:dataValidations count="1">
    <x:dataValidation type="list" sqref="E18:E27">
      <x:formula1>"No,Yes,Not Applicable"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8" hidden="0" customWidth="1"/>
    <x:col min="3" max="3" width="14" hidden="0" customWidth="1"/>
    <x:col min="4" max="4" width="14" hidden="0" customWidth="1"/>
    <x:col min="5" max="5" width="14" hidden="0" customWidth="1"/>
    <x:col min="6" max="6" width="47" hidden="0" customWidth="1"/>
    <x:col min="7" max="7" width="14" hidden="0" customWidth="1"/>
  </x:cols>
  <x:sheetData>
    <x:row r="1" ht="34" customHeight="1">
      <x:c r="A1" s="80" t="str">
        <x:v>PROJECT RISKS AND CONTROLS</x:v>
      </x:c>
      <x:c r="B1" s="80" t="str">
        <x:v>PROJECT RISKS AND CONTROLS</x:v>
      </x:c>
      <x:c r="C1" s="80" t="str">
        <x:v>PROJECT RISKS AND CONTROLS</x:v>
      </x:c>
      <x:c r="D1" s="80" t="str">
        <x:v>PROJECT RISKS AND CONTROLS</x:v>
      </x:c>
      <x:c r="E1" s="80" t="str">
        <x:v>PROJECT RISKS AND CONTROLS</x:v>
      </x:c>
      <x:c r="F1" s="80" t="str">
        <x:v>PROJECT RISKS AND CONTROLS</x:v>
      </x:c>
      <x:c r="G1" s="80" t="str">
        <x:v>PROJECT RISKS AND CONTROLS</x:v>
      </x:c>
    </x:row>
    <x:row r="2" ht="34" customHeight="1">
      <x:c r="A2" s="80" t="str">
        <x:v>PROJECT RISKS AND CONTROLS</x:v>
      </x:c>
      <x:c r="B2" s="80" t="str">
        <x:v>PROJECT RISKS AND CONTROLS</x:v>
      </x:c>
      <x:c r="C2" s="80" t="str">
        <x:v>PROJECT RISKS AND CONTROLS</x:v>
      </x:c>
      <x:c r="D2" s="80" t="str">
        <x:v>PROJECT RISKS AND CONTROLS</x:v>
      </x:c>
      <x:c r="E2" s="80" t="str">
        <x:v>PROJECT RISKS AND CONTROLS</x:v>
      </x:c>
      <x:c r="F2" s="80" t="str">
        <x:v>PROJECT RISKS AND CONTROLS</x:v>
      </x:c>
      <x:c r="G2" s="80" t="str">
        <x:v>PROJECT RISKS AND CONTROLS</x:v>
      </x:c>
    </x:row>
    <x:row r="3">
      <x:c r="A3" s="181"/>
      <x:c r="B3" s="181"/>
      <x:c r="C3" s="181"/>
      <x:c r="D3" s="181"/>
      <x:c r="E3" s="181"/>
      <x:c r="F3" s="181"/>
      <x:c r="G3" s="181"/>
    </x:row>
    <x:row r="4">
      <x:c r="A4" s="131" t="str">
        <x:v>ID</x:v>
      </x:c>
      <x:c r="B4" s="132" t="str">
        <x:v>Risk</x:v>
      </x:c>
      <x:c r="C4" s="132" t="str">
        <x:v>Probability</x:v>
      </x:c>
      <x:c r="D4" s="132" t="str">
        <x:v>Impact</x:v>
      </x:c>
      <x:c r="E4" s="132" t="str">
        <x:v>Score</x:v>
      </x:c>
      <x:c r="F4" s="132" t="str">
        <x:v>Mitigation</x:v>
      </x:c>
      <x:c r="G4" s="133" t="str">
        <x:v>Owner</x:v>
      </x:c>
    </x:row>
    <x:row r="5" ht="46" customHeight="1">
      <x:c r="A5" s="183" t="str">
        <x:v>R1</x:v>
      </x:c>
      <x:c r="B5" s="183" t="str">
        <x:v>Unknown log volume causes disk exhaustion</x:v>
      </x:c>
      <x:c r="C5" s="196" t="n">
        <x:v>3</x:v>
      </x:c>
      <x:c r="D5" s="196" t="n">
        <x:v>5</x:v>
      </x:c>
      <x:c r="E5" s="183" t="n">
        <x:f>C5*D5</x:f>
        <x:v>15</x:v>
      </x:c>
      <x:c r="F5" s="183" t="str">
        <x:v>Measure traffic, size storage and configure disk alerts.</x:v>
      </x:c>
      <x:c r="G5" s="183" t="str">
        <x:v>Joint</x:v>
      </x:c>
    </x:row>
    <x:row r="6" ht="46" customHeight="1">
      <x:c r="A6" s="183" t="str">
        <x:v>R2</x:v>
      </x:c>
      <x:c r="B6" s="183" t="str">
        <x:v>UDP packet loss results in missing logs</x:v>
      </x:c>
      <x:c r="C6" s="196" t="n">
        <x:v>3</x:v>
      </x:c>
      <x:c r="D6" s="196" t="n">
        <x:v>4</x:v>
      </x:c>
      <x:c r="E6" s="183" t="n">
        <x:f>C6*D6</x:f>
        <x:v>12</x:v>
      </x:c>
      <x:c r="F6" s="183" t="str">
        <x:v>Use TCP/TLS for critical sources where supported.</x:v>
      </x:c>
      <x:c r="G6" s="183" t="str">
        <x:v>Client</x:v>
      </x:c>
    </x:row>
    <x:row r="7" ht="46" customHeight="1">
      <x:c r="A7" s="183" t="str">
        <x:v>R3</x:v>
      </x:c>
      <x:c r="B7" s="183" t="str">
        <x:v>Firewall or SELinux blocks incoming messages</x:v>
      </x:c>
      <x:c r="C7" s="196" t="n">
        <x:v>3</x:v>
      </x:c>
      <x:c r="D7" s="196" t="n">
        <x:v>3</x:v>
      </x:c>
      <x:c r="E7" s="183" t="n">
        <x:f>C7*D7</x:f>
        <x:v>9</x:v>
      </x:c>
      <x:c r="F7" s="183" t="str">
        <x:v>Pre-approve rules; validate with ss, logger and packet capture.</x:v>
      </x:c>
      <x:c r="G7" s="183" t="str">
        <x:v>Joint</x:v>
      </x:c>
    </x:row>
    <x:row r="8" ht="46" customHeight="1">
      <x:c r="A8" s="183" t="str">
        <x:v>R4</x:v>
      </x:c>
      <x:c r="B8" s="183" t="str">
        <x:v>Incorrect retention deletes required evidence</x:v>
      </x:c>
      <x:c r="C8" s="196" t="n">
        <x:v>2</x:v>
      </x:c>
      <x:c r="D8" s="196" t="n">
        <x:v>5</x:v>
      </x:c>
      <x:c r="E8" s="183" t="n">
        <x:f>C8*D8</x:f>
        <x:v>10</x:v>
      </x:c>
      <x:c r="F8" s="183" t="str">
        <x:v>Document approval; test rotation and deletion on sample paths first.</x:v>
      </x:c>
      <x:c r="G8" s="183" t="str">
        <x:v>Joint</x:v>
      </x:c>
    </x:row>
    <x:row r="9" ht="46" customHeight="1">
      <x:c r="A9" s="183" t="str">
        <x:v>R5</x:v>
      </x:c>
      <x:c r="B9" s="183" t="str">
        <x:v>Source naming/IP changes break reporting</x:v>
      </x:c>
      <x:c r="C9" s="196" t="n">
        <x:v>3</x:v>
      </x:c>
      <x:c r="D9" s="196" t="n">
        <x:v>3</x:v>
      </x:c>
      <x:c r="E9" s="183" t="n">
        <x:f>C9*D9</x:f>
        <x:v>9</x:v>
      </x:c>
      <x:c r="F9" s="183" t="str">
        <x:v>Use controlled source inventory and update process.</x:v>
      </x:c>
      <x:c r="G9" s="183" t="str">
        <x:v>Client</x:v>
      </x:c>
    </x:row>
    <x:row r="10" ht="46" customHeight="1">
      <x:c r="A10" s="183" t="str">
        <x:v>R6</x:v>
      </x:c>
      <x:c r="B10" s="183" t="str">
        <x:v>Dashboard platform differs from assumption</x:v>
      </x:c>
      <x:c r="C10" s="196" t="n">
        <x:v>3</x:v>
      </x:c>
      <x:c r="D10" s="196" t="n">
        <x:v>4</x:v>
      </x:c>
      <x:c r="E10" s="183" t="n">
        <x:f>C10*D10</x:f>
        <x:v>12</x:v>
      </x:c>
      <x:c r="F10" s="183" t="str">
        <x:v>Confirm monitoring platform before fixed-price commitment.</x:v>
      </x:c>
      <x:c r="G10" s="183" t="str">
        <x:v>Client</x:v>
      </x:c>
    </x:row>
    <x:row r="11" ht="46" customHeight="1">
      <x:c r="A11" s="183" t="str">
        <x:v>R7</x:v>
      </x:c>
      <x:c r="B11" s="183" t="str">
        <x:v>Access or repository delays affect schedule</x:v>
      </x:c>
      <x:c r="C11" s="196" t="n">
        <x:v>4</x:v>
      </x:c>
      <x:c r="D11" s="196" t="n">
        <x:v>3</x:v>
      </x:c>
      <x:c r="E11" s="183" t="n">
        <x:f>C11*D11</x:f>
        <x:v>12</x:v>
      </x:c>
      <x:c r="F11" s="183" t="str">
        <x:v>Complete access checklist before milestone start.</x:v>
      </x:c>
      <x:c r="G11" s="183" t="str">
        <x:v>Client</x:v>
      </x:c>
    </x:row>
    <x:row r="12" ht="46" customHeight="1">
      <x:c r="A12" s="183" t="str">
        <x:v>R8</x:v>
      </x:c>
      <x:c r="B12" s="183" t="str">
        <x:v>Single-server failure interrupts collection</x:v>
      </x:c>
      <x:c r="C12" s="196" t="n">
        <x:v>2</x:v>
      </x:c>
      <x:c r="D12" s="196" t="n">
        <x:v>5</x:v>
      </x:c>
      <x:c r="E12" s="183" t="n">
        <x:f>C12*D12</x:f>
        <x:v>10</x:v>
      </x:c>
      <x:c r="F12" s="183" t="str">
        <x:v>Document limitation; offer HA as separate scope.</x:v>
      </x:c>
      <x:c r="G12" s="183" t="str">
        <x:v>Client</x:v>
      </x:c>
    </x:row>
  </x:sheetData>
  <x:mergeCells>
    <x:mergeCell ref="A1:G2"/>
  </x:mergeCells>
  <x:conditionalFormatting sqref="E5:E12">
    <x:cfRule type="cellIs" dxfId="3" priority="1" operator="greaterThanOrEqual">
      <x:formula>15</x:formula>
    </x:cfRule>
    <x:cfRule type="cellIs" dxfId="4" priority="2" operator="between">
      <x:formula>8</x:formula>
      <x:formula>14</x:formula>
    </x:cfRule>
    <x:cfRule type="cellIs" dxfId="5" priority="3" operator="lessThan">
      <x:formula>8</x:formula>
    </x:cfRule>
  </x:conditionalFormatting>
  <x:dataValidations count="1">
    <x:dataValidation type="whole" operator="between" sqref="C5:D12">
      <x:formula1>1</x:formula1>
      <x:formula2>5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45" hidden="0" customWidth="1"/>
    <x:col min="3" max="3" width="36" hidden="0" customWidth="1"/>
    <x:col min="4" max="4" width="17" hidden="0" customWidth="1"/>
    <x:col min="5" max="5" width="17" hidden="0" customWidth="1"/>
    <x:col min="6" max="6" width="30" hidden="0" customWidth="1"/>
  </x:cols>
  <x:sheetData>
    <x:row r="1" ht="34" customHeight="1">
      <x:c r="A1" s="80" t="str">
        <x:v>ACCEPTANCE AND HANDOVER CHECKLIST</x:v>
      </x:c>
      <x:c r="B1" s="80" t="str">
        <x:v>ACCEPTANCE AND HANDOVER CHECKLIST</x:v>
      </x:c>
      <x:c r="C1" s="80" t="str">
        <x:v>ACCEPTANCE AND HANDOVER CHECKLIST</x:v>
      </x:c>
      <x:c r="D1" s="80" t="str">
        <x:v>ACCEPTANCE AND HANDOVER CHECKLIST</x:v>
      </x:c>
      <x:c r="E1" s="80" t="str">
        <x:v>ACCEPTANCE AND HANDOVER CHECKLIST</x:v>
      </x:c>
      <x:c r="F1" s="80" t="str">
        <x:v>ACCEPTANCE AND HANDOVER CHECKLIST</x:v>
      </x:c>
    </x:row>
    <x:row r="2" ht="34" customHeight="1">
      <x:c r="A2" s="80" t="str">
        <x:v>ACCEPTANCE AND HANDOVER CHECKLIST</x:v>
      </x:c>
      <x:c r="B2" s="80" t="str">
        <x:v>ACCEPTANCE AND HANDOVER CHECKLIST</x:v>
      </x:c>
      <x:c r="C2" s="80" t="str">
        <x:v>ACCEPTANCE AND HANDOVER CHECKLIST</x:v>
      </x:c>
      <x:c r="D2" s="80" t="str">
        <x:v>ACCEPTANCE AND HANDOVER CHECKLIST</x:v>
      </x:c>
      <x:c r="E2" s="80" t="str">
        <x:v>ACCEPTANCE AND HANDOVER CHECKLIST</x:v>
      </x:c>
      <x:c r="F2" s="80" t="str">
        <x:v>ACCEPTANCE AND HANDOVER CHECKLIST</x:v>
      </x:c>
    </x:row>
    <x:row r="3">
      <x:c r="A3" s="181"/>
      <x:c r="B3" s="181"/>
      <x:c r="C3" s="181"/>
      <x:c r="D3" s="181"/>
      <x:c r="E3" s="181"/>
      <x:c r="F3" s="181"/>
    </x:row>
    <x:row r="4">
      <x:c r="A4" s="131" t="str">
        <x:v>ID</x:v>
      </x:c>
      <x:c r="B4" s="132" t="str">
        <x:v>Acceptance Criterion</x:v>
      </x:c>
      <x:c r="C4" s="132" t="str">
        <x:v>Test / Evidence</x:v>
      </x:c>
      <x:c r="D4" s="132" t="str">
        <x:v>Status</x:v>
      </x:c>
      <x:c r="E4" s="132" t="str">
        <x:v>Client Sign-off</x:v>
      </x:c>
      <x:c r="F4" s="133" t="str">
        <x:v>Notes</x:v>
      </x:c>
    </x:row>
    <x:row r="5" ht="45" customHeight="1">
      <x:c r="A5" s="183" t="str">
        <x:v>AC1</x:v>
      </x:c>
      <x:c r="B5" s="183" t="str">
        <x:v>Syslog-ng is active and enabled after reboot.</x:v>
      </x:c>
      <x:c r="C5" s="183" t="str">
        <x:v>systemctl output and restart test</x:v>
      </x:c>
      <x:c r="D5" s="183" t="str">
        <x:v>Not Started</x:v>
      </x:c>
      <x:c r="E5" s="183" t="str">
        <x:v>Pending</x:v>
      </x:c>
      <x:c r="F5" s="219" t="str"/>
    </x:row>
    <x:row r="6" ht="45" customHeight="1">
      <x:c r="A6" s="183" t="str">
        <x:v>AC2</x:v>
      </x:c>
      <x:c r="B6" s="183" t="str">
        <x:v>Every approved TCP/UDP port is listening.</x:v>
      </x:c>
      <x:c r="C6" s="183" t="str">
        <x:v>ss output and connection tests</x:v>
      </x:c>
      <x:c r="D6" s="183" t="str">
        <x:v>Not Started</x:v>
      </x:c>
      <x:c r="E6" s="183" t="str">
        <x:v>Pending</x:v>
      </x:c>
      <x:c r="F6" s="219" t="str"/>
    </x:row>
    <x:row r="7" ht="45" customHeight="1">
      <x:c r="A7" s="183" t="str">
        <x:v>AC3</x:v>
      </x:c>
      <x:c r="B7" s="183" t="str">
        <x:v>Logs are stored by listener port, source IP and date.</x:v>
      </x:c>
      <x:c r="C7" s="183" t="str">
        <x:v>Directory and sample-message evidence</x:v>
      </x:c>
      <x:c r="D7" s="183" t="str">
        <x:v>Not Started</x:v>
      </x:c>
      <x:c r="E7" s="183" t="str">
        <x:v>Pending</x:v>
      </x:c>
      <x:c r="F7" s="219" t="str"/>
    </x:row>
    <x:row r="8" ht="45" customHeight="1">
      <x:c r="A8" s="183" t="str">
        <x:v>AC4</x:v>
      </x:c>
      <x:c r="B8" s="183" t="str">
        <x:v>Rotation and compression run according to policy.</x:v>
      </x:c>
      <x:c r="C8" s="183" t="str">
        <x:v>Forced rotation test and compressed file</x:v>
      </x:c>
      <x:c r="D8" s="183" t="str">
        <x:v>Not Started</x:v>
      </x:c>
      <x:c r="E8" s="183" t="str">
        <x:v>Pending</x:v>
      </x:c>
      <x:c r="F8" s="219" t="str"/>
    </x:row>
    <x:row r="9" ht="45" customHeight="1">
      <x:c r="A9" s="183" t="str">
        <x:v>AC5</x:v>
      </x:c>
      <x:c r="B9" s="183" t="str">
        <x:v>Expired test archives are deleted safely.</x:v>
      </x:c>
      <x:c r="C9" s="183" t="str">
        <x:v>Retention test with approved sample files</x:v>
      </x:c>
      <x:c r="D9" s="183" t="str">
        <x:v>Not Started</x:v>
      </x:c>
      <x:c r="E9" s="183" t="str">
        <x:v>Pending</x:v>
      </x:c>
      <x:c r="F9" s="219" t="str"/>
    </x:row>
    <x:row r="10" ht="45" customHeight="1">
      <x:c r="A10" s="183" t="str">
        <x:v>AC6</x:v>
      </x:c>
      <x:c r="B10" s="183" t="str">
        <x:v>Dashboard shows message volume, source and port status.</x:v>
      </x:c>
      <x:c r="C10" s="183" t="str">
        <x:v>Dashboard review</x:v>
      </x:c>
      <x:c r="D10" s="183" t="str">
        <x:v>Not Started</x:v>
      </x:c>
      <x:c r="E10" s="183" t="str">
        <x:v>Pending</x:v>
      </x:c>
      <x:c r="F10" s="219" t="str"/>
    </x:row>
    <x:row r="11" ht="45" customHeight="1">
      <x:c r="A11" s="183" t="str">
        <x:v>AC7</x:v>
      </x:c>
      <x:c r="B11" s="183" t="str">
        <x:v>Last-received history records source IP, port and time.</x:v>
      </x:c>
      <x:c r="C11" s="183" t="str">
        <x:v>Database query/report</x:v>
      </x:c>
      <x:c r="D11" s="183" t="str">
        <x:v>Not Started</x:v>
      </x:c>
      <x:c r="E11" s="183" t="str">
        <x:v>Pending</x:v>
      </x:c>
      <x:c r="F11" s="219" t="str"/>
    </x:row>
    <x:row r="12" ht="45" customHeight="1">
      <x:c r="A12" s="183" t="str">
        <x:v>AC8</x:v>
      </x:c>
      <x:c r="B12" s="183" t="str">
        <x:v>Silent-source alert triggers at the approved threshold.</x:v>
      </x:c>
      <x:c r="C12" s="183" t="str">
        <x:v>Controlled alert test</x:v>
      </x:c>
      <x:c r="D12" s="183" t="str">
        <x:v>Not Started</x:v>
      </x:c>
      <x:c r="E12" s="183" t="str">
        <x:v>Pending</x:v>
      </x:c>
      <x:c r="F12" s="219" t="str"/>
    </x:row>
    <x:row r="13" ht="45" customHeight="1">
      <x:c r="A13" s="183" t="str">
        <x:v>AC9</x:v>
      </x:c>
      <x:c r="B13" s="183" t="str">
        <x:v>Performance and disk-protection controls are verified.</x:v>
      </x:c>
      <x:c r="C13" s="183" t="str">
        <x:v>Load test and disk alert evidence</x:v>
      </x:c>
      <x:c r="D13" s="183" t="str">
        <x:v>Not Started</x:v>
      </x:c>
      <x:c r="E13" s="183" t="str">
        <x:v>Pending</x:v>
      </x:c>
      <x:c r="F13" s="219" t="str"/>
    </x:row>
    <x:row r="14" ht="45" customHeight="1">
      <x:c r="A14" s="183" t="str">
        <x:v>AC10</x:v>
      </x:c>
      <x:c r="B14" s="183" t="str">
        <x:v>Configuration, runbook and handover are delivered.</x:v>
      </x:c>
      <x:c r="C14" s="183" t="str">
        <x:v>Document package and session record</x:v>
      </x:c>
      <x:c r="D14" s="183" t="str">
        <x:v>Not Started</x:v>
      </x:c>
      <x:c r="E14" s="183" t="str">
        <x:v>Pending</x:v>
      </x:c>
      <x:c r="F14" s="219" t="str"/>
    </x:row>
  </x:sheetData>
  <x:mergeCells>
    <x:mergeCell ref="A1:F2"/>
  </x:mergeCells>
  <x:conditionalFormatting sqref="D5:D14">
    <x:cfRule type="containsText" dxfId="6" priority="1" operator="containsText" text="Passed"/>
    <x:cfRule type="containsText" dxfId="7" priority="2" operator="containsText" text="Failed"/>
  </x:conditionalFormatting>
  <x:dataValidations count="2">
    <x:dataValidation type="list" sqref="D5:D14">
      <x:formula1>"Not Started,In Progress,Blocked,Passed,Failed"</x:formula1>
    </x:dataValidation>
    <x:dataValidation type="list" sqref="E5:E14">
      <x:formula1>"Pending,Approved,Rejected"</x:formula1>
    </x:dataValidation>
  </x:dataValidations>
  <x:pageMargins left="0.7" right="0.7" top="0.75" bottom="0.75" header="0.3" footer="0.3"/>
</x:worksheet>
</file>